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WAN\Documents\Practice Files\PROJECTS\Excel_for_data_analytics\"/>
    </mc:Choice>
  </mc:AlternateContent>
  <workbookProtection lockStructure="1"/>
  <bookViews>
    <workbookView xWindow="0" yWindow="0" windowWidth="23040" windowHeight="9372" activeTab="7"/>
  </bookViews>
  <sheets>
    <sheet name="student_exam_scores " sheetId="1" r:id="rId1"/>
    <sheet name="Attendance and Study Hour" sheetId="4" state="hidden" r:id="rId2"/>
    <sheet name="Previous V Exam" sheetId="8" state="hidden" r:id="rId3"/>
    <sheet name="Improvement and Attendance" sheetId="18" state="hidden" r:id="rId4"/>
    <sheet name="Improvement " sheetId="19" state="hidden" r:id="rId5"/>
    <sheet name="Previous and Study Hour" sheetId="11" state="hidden" r:id="rId6"/>
    <sheet name="Exam and study Hour" sheetId="12" state="hidden" r:id="rId7"/>
    <sheet name="Dash Board" sheetId="17" r:id="rId8"/>
  </sheets>
  <definedNames>
    <definedName name="_xlnm._FilterDatabase" localSheetId="0" hidden="1">'student_exam_scores '!$A$1:$F$202</definedName>
    <definedName name="Slicer_Attendance_Percent">#N/A</definedName>
    <definedName name="Slicer_Hours_Studied">#N/A</definedName>
  </definedNames>
  <calcPr calcId="152511" calcMode="manual"/>
  <pivotCaches>
    <pivotCache cacheId="25" r:id="rId9"/>
    <pivotCache cacheId="2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5" i="19" l="1"/>
  <c r="C14" i="19"/>
  <c r="C4" i="19"/>
  <c r="C5" i="19"/>
  <c r="C6" i="19"/>
  <c r="C7" i="19"/>
  <c r="C3" i="19"/>
  <c r="P19" i="1"/>
  <c r="P18" i="1"/>
  <c r="P11" i="1"/>
  <c r="P10" i="1"/>
  <c r="P9" i="1"/>
  <c r="P8" i="1"/>
  <c r="P7" i="1"/>
  <c r="K18" i="1"/>
  <c r="D10" i="19"/>
  <c r="D11" i="19"/>
  <c r="C11" i="19"/>
  <c r="I2" i="1"/>
  <c r="I3" i="1"/>
  <c r="I4" i="1"/>
  <c r="I5" i="1"/>
  <c r="I6" i="1"/>
  <c r="I7" i="1"/>
  <c r="I8" i="1"/>
  <c r="I9" i="1"/>
  <c r="I10" i="1"/>
  <c r="I11"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12" i="1"/>
  <c r="J21" i="1"/>
  <c r="J8" i="1"/>
  <c r="J9" i="1"/>
  <c r="J10" i="1"/>
  <c r="J11" i="1"/>
  <c r="J12" i="1"/>
  <c r="J13" i="1"/>
  <c r="J14" i="1"/>
  <c r="J15" i="1"/>
  <c r="J16" i="1"/>
  <c r="J17" i="1"/>
  <c r="J18" i="1"/>
  <c r="J19" i="1"/>
  <c r="J20"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7" i="1"/>
  <c r="J3" i="1"/>
  <c r="J4" i="1"/>
  <c r="J5" i="1"/>
  <c r="J6" i="1"/>
  <c r="J2" i="1"/>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 r="K5" i="1" l="1"/>
  <c r="K6" i="1"/>
  <c r="K7" i="1"/>
  <c r="K8" i="1"/>
  <c r="K9" i="1"/>
  <c r="K10" i="1"/>
  <c r="K11" i="1"/>
  <c r="K12" i="1"/>
  <c r="K13" i="1"/>
  <c r="K14" i="1"/>
  <c r="K15" i="1"/>
  <c r="K16" i="1"/>
  <c r="K17"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3" i="1"/>
  <c r="K4" i="1"/>
  <c r="K2" i="1"/>
  <c r="L174" i="1"/>
  <c r="L2" i="1"/>
  <c r="L10" i="1"/>
  <c r="Q15" i="1" l="1"/>
  <c r="Q14" i="1"/>
  <c r="L3" i="1"/>
  <c r="P14" i="1" s="1"/>
  <c r="L4" i="1"/>
  <c r="L5" i="1"/>
  <c r="L6" i="1"/>
  <c r="L7" i="1"/>
  <c r="L8" i="1"/>
  <c r="L9"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G3" i="1" l="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 i="1"/>
  <c r="H2" i="1" s="1"/>
  <c r="G11" i="17" l="1"/>
</calcChain>
</file>

<file path=xl/sharedStrings.xml><?xml version="1.0" encoding="utf-8"?>
<sst xmlns="http://schemas.openxmlformats.org/spreadsheetml/2006/main" count="312" uniqueCount="258">
  <si>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</si>
  <si>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</si>
  <si>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</si>
  <si>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</si>
  <si>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</si>
  <si>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</si>
  <si>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</si>
  <si>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</si>
  <si>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</si>
  <si>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</si>
  <si>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</si>
  <si>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</si>
  <si>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</si>
  <si>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</si>
  <si>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</si>
  <si>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</si>
  <si>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</si>
  <si>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</si>
  <si>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</si>
  <si>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</si>
  <si>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</si>
  <si>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</si>
  <si>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</si>
  <si>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</si>
  <si>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</si>
  <si>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</si>
  <si>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</si>
  <si>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</si>
  <si>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</si>
  <si>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</si>
  <si>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</si>
  <si>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</si>
  <si>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</si>
  <si>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</si>
  <si>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</si>
  <si>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</si>
  <si>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</si>
  <si>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</si>
  <si>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</si>
  <si>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</si>
  <si>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</si>
  <si>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</si>
  <si>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</si>
  <si>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</si>
  <si>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</si>
  <si>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</si>
  <si>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</si>
  <si>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</si>
  <si>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</si>
  <si>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</si>
  <si>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</si>
  <si>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</si>
  <si>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</si>
  <si>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</si>
  <si>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</si>
  <si>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</si>
  <si>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</si>
  <si>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</si>
  <si>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</si>
  <si>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</si>
  <si>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</si>
  <si>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</si>
  <si>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</si>
  <si>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</si>
  <si>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</si>
  <si>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</si>
  <si>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</si>
  <si>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</si>
  <si>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</si>
  <si>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</si>
  <si>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</si>
  <si>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</si>
  <si>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</si>
  <si>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</si>
  <si>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</si>
  <si>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</si>
  <si>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</si>
  <si>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</si>
  <si>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</si>
  <si>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</si>
  <si>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</si>
  <si>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</si>
  <si>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</si>
  <si>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</si>
  <si>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</si>
  <si>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</si>
  <si>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</si>
  <si>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</si>
  <si>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</si>
  <si>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</si>
  <si>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</si>
  <si>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</si>
  <si>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</si>
  <si>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</si>
  <si>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</si>
  <si>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</si>
  <si>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</si>
  <si>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</si>
  <si>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</si>
  <si>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</si>
  <si>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</si>
  <si>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</si>
  <si>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</si>
  <si>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</si>
  <si>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</si>
  <si>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</si>
  <si>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</si>
  <si>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</si>
  <si>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</si>
  <si>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</si>
  <si>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</si>
  <si>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</si>
  <si>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</si>
  <si>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</si>
  <si>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</si>
  <si>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</si>
  <si>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</si>
  <si>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</si>
  <si>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</si>
  <si>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</si>
  <si>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</si>
  <si>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</si>
  <si>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</si>
  <si>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</si>
  <si>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</si>
  <si>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</si>
  <si>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</si>
  <si>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</si>
  <si>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</si>
  <si>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</si>
  <si>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</si>
  <si>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</si>
  <si>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</si>
  <si>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</si>
  <si>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</si>
  <si>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</si>
  <si>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</si>
  <si>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</si>
  <si>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</si>
  <si>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</si>
  <si>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</si>
  <si>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</si>
  <si>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</si>
  <si>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</si>
  <si>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</si>
  <si>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</si>
  <si>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</si>
  <si>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</si>
  <si>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</si>
  <si>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</si>
  <si>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</si>
  <si>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</si>
  <si>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</si>
  <si>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</si>
  <si>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</si>
  <si>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</si>
  <si>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</si>
  <si>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</si>
  <si>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</si>
  <si>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</si>
  <si>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</si>
  <si>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</si>
  <si>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</si>
  <si>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</si>
  <si>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</si>
  <si>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</si>
  <si>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</si>
  <si>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</si>
  <si>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</si>
  <si>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</si>
  <si>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</si>
  <si>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</si>
  <si>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</si>
  <si>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</si>
  <si>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</si>
  <si>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</si>
  <si>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</si>
  <si>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</si>
  <si>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</si>
  <si>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</si>
  <si>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</si>
  <si>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</si>
  <si>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</si>
  <si>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</si>
  <si>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</si>
  <si>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</si>
  <si>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</si>
  <si>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</si>
  <si>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</si>
  <si>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</si>
  <si>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</si>
  <si>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</si>
  <si>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</si>
  <si>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</si>
  <si>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</si>
  <si>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</si>
  <si>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</si>
  <si>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</si>
  <si>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</si>
  <si>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</si>
  <si>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Student_Id</t>
  </si>
  <si>
    <t>Hours_Studied</t>
  </si>
  <si>
    <t>Attendance_Percent</t>
  </si>
  <si>
    <t>Previous_Scores</t>
  </si>
  <si>
    <t>Exam_Score</t>
  </si>
  <si>
    <t>Row Labels</t>
  </si>
  <si>
    <t>Grand Total</t>
  </si>
  <si>
    <t>Column Labels</t>
  </si>
  <si>
    <t>1-3</t>
  </si>
  <si>
    <t>3-5</t>
  </si>
  <si>
    <t>5-7</t>
  </si>
  <si>
    <t>7-9</t>
  </si>
  <si>
    <t>9-11</t>
  </si>
  <si>
    <t>10-12</t>
  </si>
  <si>
    <t>50.3-60.3</t>
  </si>
  <si>
    <t>Sum of Hours_Studied</t>
  </si>
  <si>
    <t>2-4</t>
  </si>
  <si>
    <t>4-6</t>
  </si>
  <si>
    <t>6-8</t>
  </si>
  <si>
    <t>8-10</t>
  </si>
  <si>
    <t>Avg PS</t>
  </si>
  <si>
    <t>Avg ES</t>
  </si>
  <si>
    <t>Low</t>
  </si>
  <si>
    <t>Medium</t>
  </si>
  <si>
    <t>High</t>
  </si>
  <si>
    <t>Decline</t>
  </si>
  <si>
    <t>Improved</t>
  </si>
  <si>
    <t>Attendance</t>
  </si>
  <si>
    <t>Sum of Decline</t>
  </si>
  <si>
    <t>Sum of Improved</t>
  </si>
  <si>
    <t>Average of Previous_Scores</t>
  </si>
  <si>
    <t>Average of Exam_Score</t>
  </si>
  <si>
    <t>60.3-70.3</t>
  </si>
  <si>
    <t>70.3-80.3</t>
  </si>
  <si>
    <t>80.3-90.3</t>
  </si>
  <si>
    <t>90.3-100.3</t>
  </si>
  <si>
    <t>11-13</t>
  </si>
  <si>
    <t>12-14</t>
  </si>
  <si>
    <t>SCORE</t>
  </si>
  <si>
    <t>PREVIOUS</t>
  </si>
  <si>
    <t>EXAM</t>
  </si>
  <si>
    <t>Improvement</t>
  </si>
  <si>
    <t>Study Hour</t>
  </si>
  <si>
    <t>Exam Score</t>
  </si>
  <si>
    <t>Pass%</t>
  </si>
  <si>
    <t>Fail%</t>
  </si>
  <si>
    <t>Count of Hours_Studied</t>
  </si>
  <si>
    <t>61-70</t>
  </si>
  <si>
    <t>91-100</t>
  </si>
  <si>
    <t>50-60</t>
  </si>
  <si>
    <t>71-80</t>
  </si>
  <si>
    <t>81-90</t>
  </si>
  <si>
    <t>Previous hr V Exam Hr</t>
  </si>
  <si>
    <t>Increase</t>
  </si>
  <si>
    <t>Decrease</t>
  </si>
  <si>
    <t>Previous Score</t>
  </si>
  <si>
    <t>Hours_Studied2</t>
  </si>
  <si>
    <t>Column3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</si>
</sst>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4.9989318521683403E-2"/>
        <bgColor indexed="64"/>
      </patternFill>
    </fill>
    <fill>
      <patternFill patternType="solid">
        <fgColor rgb="FF663300"/>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16" fillId="0" borderId="0" xfId="0" applyFont="1"/>
    <xf numFmtId="164" fontId="0" fillId="0" borderId="0" xfId="0" applyNumberFormat="1"/>
    <xf numFmtId="1" fontId="16" fillId="0" borderId="0" xfId="0" applyNumberFormat="1" applyFont="1"/>
    <xf numFmtId="1" fontId="0" fillId="0" borderId="0" xfId="0" applyNumberFormat="1"/>
    <xf numFmtId="0" fontId="0" fillId="0" borderId="10" xfId="0" pivotButton="1" applyBorder="1"/>
    <xf numFmtId="0" fontId="0" fillId="0" borderId="10" xfId="0" applyBorder="1"/>
    <xf numFmtId="164" fontId="0" fillId="0" borderId="10" xfId="0" applyNumberFormat="1" applyBorder="1"/>
    <xf numFmtId="0" fontId="0" fillId="0" borderId="10" xfId="0" applyNumberFormat="1" applyBorder="1"/>
    <xf numFmtId="164" fontId="0" fillId="0" borderId="10" xfId="0" applyNumberFormat="1" applyBorder="1" applyAlignment="1">
      <alignment horizontal="left"/>
    </xf>
    <xf numFmtId="0" fontId="0" fillId="0" borderId="0" xfId="0" pivotButton="1"/>
    <xf numFmtId="0" fontId="0" fillId="0" borderId="0" xfId="0" applyNumberFormat="1"/>
    <xf numFmtId="0" fontId="0" fillId="0" borderId="0" xfId="0" applyAlignment="1">
      <alignment horizontal="left"/>
    </xf>
    <xf numFmtId="0" fontId="16" fillId="33" borderId="0" xfId="0" applyFont="1" applyFill="1"/>
    <xf numFmtId="0" fontId="0" fillId="33" borderId="0" xfId="0" applyFill="1"/>
    <xf numFmtId="0" fontId="0" fillId="0" borderId="0" xfId="0" applyFill="1"/>
    <xf numFmtId="1" fontId="0" fillId="0" borderId="0" xfId="42" applyNumberFormat="1" applyFont="1"/>
    <xf numFmtId="10" fontId="0" fillId="33" borderId="0" xfId="0" applyNumberFormat="1" applyFill="1"/>
    <xf numFmtId="0" fontId="16" fillId="0" borderId="0" xfId="0" applyFont="1" applyFill="1"/>
    <xf numFmtId="0" fontId="16" fillId="0" borderId="0" xfId="0" applyNumberFormat="1" applyFont="1"/>
    <xf numFmtId="10" fontId="0" fillId="0" borderId="0" xfId="0" applyNumberFormat="1" applyFill="1"/>
    <xf numFmtId="1" fontId="0" fillId="0" borderId="0" xfId="42" applyNumberFormat="1" applyFont="1" applyFill="1"/>
    <xf numFmtId="0" fontId="0" fillId="34" borderId="0" xfId="0" applyFill="1"/>
    <xf numFmtId="0" fontId="0" fillId="35" borderId="0" xfId="0" applyFill="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663300"/>
      <color rgb="FFFFE2B7"/>
      <color rgb="FFFFD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.xlsx]Attendance and Study Hour!PivotTable6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'Attendance and Study Hour'!$B$3:$B$4</c:f>
              <c:strCache>
                <c:ptCount val="1"/>
                <c:pt idx="0">
                  <c:v>1-3</c:v>
                </c:pt>
              </c:strCache>
            </c:strRef>
          </c:tx>
          <c:spPr>
            <a:solidFill>
              <a:schemeClr val="accent1"/>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Hour'!$B$5:$B$10</c:f>
              <c:numCache>
                <c:formatCode>General</c:formatCode>
                <c:ptCount val="5"/>
                <c:pt idx="0">
                  <c:v>20.799999999999997</c:v>
                </c:pt>
                <c:pt idx="1">
                  <c:v>8.1000000000000014</c:v>
                </c:pt>
                <c:pt idx="2">
                  <c:v>11.700000000000001</c:v>
                </c:pt>
                <c:pt idx="3">
                  <c:v>12.1</c:v>
                </c:pt>
                <c:pt idx="4">
                  <c:v>11.200000000000001</c:v>
                </c:pt>
              </c:numCache>
            </c:numRef>
          </c:val>
        </c:ser>
        <c:ser>
          <c:idx val="1"/>
          <c:order val="1"/>
          <c:tx>
            <c:strRef>
              <c:f>'Attendance and Study Hour'!$C$3:$C$4</c:f>
              <c:strCache>
                <c:ptCount val="1"/>
                <c:pt idx="0">
                  <c:v>3-5</c:v>
                </c:pt>
              </c:strCache>
            </c:strRef>
          </c:tx>
          <c:spPr>
            <a:solidFill>
              <a:schemeClr val="accent2"/>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Hour'!$C$5:$C$10</c:f>
              <c:numCache>
                <c:formatCode>General</c:formatCode>
                <c:ptCount val="5"/>
                <c:pt idx="0">
                  <c:v>36.800000000000004</c:v>
                </c:pt>
                <c:pt idx="1">
                  <c:v>45.400000000000006</c:v>
                </c:pt>
                <c:pt idx="2">
                  <c:v>41.5</c:v>
                </c:pt>
                <c:pt idx="3">
                  <c:v>25.8</c:v>
                </c:pt>
                <c:pt idx="4">
                  <c:v>21.5</c:v>
                </c:pt>
              </c:numCache>
            </c:numRef>
          </c:val>
        </c:ser>
        <c:ser>
          <c:idx val="2"/>
          <c:order val="2"/>
          <c:tx>
            <c:strRef>
              <c:f>'Attendance and Study Hour'!$D$3:$D$4</c:f>
              <c:strCache>
                <c:ptCount val="1"/>
                <c:pt idx="0">
                  <c:v>5-7</c:v>
                </c:pt>
              </c:strCache>
            </c:strRef>
          </c:tx>
          <c:spPr>
            <a:solidFill>
              <a:schemeClr val="accent3"/>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Hour'!$D$5:$D$10</c:f>
              <c:numCache>
                <c:formatCode>General</c:formatCode>
                <c:ptCount val="5"/>
                <c:pt idx="0">
                  <c:v>68.599999999999994</c:v>
                </c:pt>
                <c:pt idx="1">
                  <c:v>23.700000000000003</c:v>
                </c:pt>
                <c:pt idx="2">
                  <c:v>37</c:v>
                </c:pt>
                <c:pt idx="3">
                  <c:v>34.300000000000004</c:v>
                </c:pt>
                <c:pt idx="4">
                  <c:v>40</c:v>
                </c:pt>
              </c:numCache>
            </c:numRef>
          </c:val>
        </c:ser>
        <c:ser>
          <c:idx val="3"/>
          <c:order val="3"/>
          <c:tx>
            <c:strRef>
              <c:f>'Attendance and Study Hour'!$E$3:$E$4</c:f>
              <c:strCache>
                <c:ptCount val="1"/>
                <c:pt idx="0">
                  <c:v>7-9</c:v>
                </c:pt>
              </c:strCache>
            </c:strRef>
          </c:tx>
          <c:spPr>
            <a:solidFill>
              <a:schemeClr val="accent4"/>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Hour'!$E$5:$E$10</c:f>
              <c:numCache>
                <c:formatCode>General</c:formatCode>
                <c:ptCount val="5"/>
                <c:pt idx="0">
                  <c:v>63.500000000000007</c:v>
                </c:pt>
                <c:pt idx="1">
                  <c:v>70.600000000000009</c:v>
                </c:pt>
                <c:pt idx="2">
                  <c:v>55.2</c:v>
                </c:pt>
                <c:pt idx="3">
                  <c:v>31</c:v>
                </c:pt>
                <c:pt idx="4">
                  <c:v>47.1</c:v>
                </c:pt>
              </c:numCache>
            </c:numRef>
          </c:val>
        </c:ser>
        <c:ser>
          <c:idx val="4"/>
          <c:order val="4"/>
          <c:tx>
            <c:strRef>
              <c:f>'Attendance and Study Hour'!$F$3:$F$4</c:f>
              <c:strCache>
                <c:ptCount val="1"/>
                <c:pt idx="0">
                  <c:v>9-11</c:v>
                </c:pt>
              </c:strCache>
            </c:strRef>
          </c:tx>
          <c:spPr>
            <a:solidFill>
              <a:schemeClr val="accent5"/>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Hour'!$F$5:$F$10</c:f>
              <c:numCache>
                <c:formatCode>General</c:formatCode>
                <c:ptCount val="5"/>
                <c:pt idx="0">
                  <c:v>58.699999999999996</c:v>
                </c:pt>
                <c:pt idx="1">
                  <c:v>48.6</c:v>
                </c:pt>
                <c:pt idx="2">
                  <c:v>72.100000000000009</c:v>
                </c:pt>
                <c:pt idx="3">
                  <c:v>90.2</c:v>
                </c:pt>
                <c:pt idx="4">
                  <c:v>70.7</c:v>
                </c:pt>
              </c:numCache>
            </c:numRef>
          </c:val>
        </c:ser>
        <c:ser>
          <c:idx val="5"/>
          <c:order val="5"/>
          <c:tx>
            <c:strRef>
              <c:f>'Attendance and Study Hour'!$G$3:$G$4</c:f>
              <c:strCache>
                <c:ptCount val="1"/>
                <c:pt idx="0">
                  <c:v>11-13</c:v>
                </c:pt>
              </c:strCache>
            </c:strRef>
          </c:tx>
          <c:spPr>
            <a:solidFill>
              <a:schemeClr val="accent6"/>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Hour'!$G$5:$G$10</c:f>
              <c:numCache>
                <c:formatCode>General</c:formatCode>
                <c:ptCount val="5"/>
                <c:pt idx="0">
                  <c:v>45.400000000000006</c:v>
                </c:pt>
                <c:pt idx="1">
                  <c:v>57.199999999999996</c:v>
                </c:pt>
                <c:pt idx="2">
                  <c:v>35.1</c:v>
                </c:pt>
                <c:pt idx="3">
                  <c:v>57.7</c:v>
                </c:pt>
                <c:pt idx="4">
                  <c:v>23.5</c:v>
                </c:pt>
              </c:numCache>
            </c:numRef>
          </c:val>
        </c:ser>
        <c:dLbls>
          <c:showLegendKey val="0"/>
          <c:showVal val="0"/>
          <c:showCatName val="0"/>
          <c:showSerName val="0"/>
          <c:showPercent val="0"/>
          <c:showBubbleSize val="0"/>
        </c:dLbls>
        <c:gapWidth val="219"/>
        <c:overlap val="-27"/>
        <c:axId val="427455072"/>
        <c:axId val="427456248"/>
      </c:barChart>
      <c:catAx>
        <c:axId val="42745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6248"/>
        <c:crosses val="autoZero"/>
        <c:auto val="1"/>
        <c:lblAlgn val="ctr"/>
        <c:lblOffset val="100"/>
        <c:noMultiLvlLbl val="0"/>
      </c:catAx>
      <c:valAx>
        <c:axId val="427456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V Exam!PivotTable6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4.8312208914153498E-2"/>
          <c:y val="5.1286403570811129E-2"/>
          <c:w val="0.78275070526898427"/>
          <c:h val="0.8416746864975212"/>
        </c:manualLayout>
      </c:layout>
      <c:barChart>
        <c:barDir val="col"/>
        <c:grouping val="clustered"/>
        <c:varyColors val="0"/>
        <c:ser>
          <c:idx val="0"/>
          <c:order val="0"/>
          <c:tx>
            <c:strRef>
              <c:f>'Previous V Exam'!$B$4</c:f>
              <c:strCache>
                <c:ptCount val="1"/>
                <c:pt idx="0">
                  <c:v>Avg PS</c:v>
                </c:pt>
              </c:strCache>
            </c:strRef>
          </c:tx>
          <c:spPr>
            <a:solidFill>
              <a:schemeClr val="accent1"/>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Exam'!$B$5:$B$11</c:f>
              <c:numCache>
                <c:formatCode>General</c:formatCode>
                <c:ptCount val="6"/>
                <c:pt idx="0">
                  <c:v>66.315789473684205</c:v>
                </c:pt>
                <c:pt idx="1">
                  <c:v>70.352941176470594</c:v>
                </c:pt>
                <c:pt idx="2">
                  <c:v>67.17647058823529</c:v>
                </c:pt>
                <c:pt idx="3">
                  <c:v>66.147058823529406</c:v>
                </c:pt>
                <c:pt idx="4">
                  <c:v>63.422222222222224</c:v>
                </c:pt>
                <c:pt idx="5">
                  <c:v>68.264705882352942</c:v>
                </c:pt>
              </c:numCache>
            </c:numRef>
          </c:val>
        </c:ser>
        <c:ser>
          <c:idx val="1"/>
          <c:order val="1"/>
          <c:tx>
            <c:strRef>
              <c:f>'Previous V Exam'!$C$4</c:f>
              <c:strCache>
                <c:ptCount val="1"/>
                <c:pt idx="0">
                  <c:v>Avg ES</c:v>
                </c:pt>
              </c:strCache>
            </c:strRef>
          </c:tx>
          <c:spPr>
            <a:solidFill>
              <a:schemeClr val="accent2"/>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Exam'!$C$5:$C$11</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427457032"/>
        <c:axId val="427452328"/>
      </c:barChart>
      <c:catAx>
        <c:axId val="427457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2328"/>
        <c:crosses val="autoZero"/>
        <c:auto val="1"/>
        <c:lblAlgn val="ctr"/>
        <c:lblOffset val="100"/>
        <c:noMultiLvlLbl val="0"/>
      </c:catAx>
      <c:valAx>
        <c:axId val="427452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703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.xlsx]Improvement and Attendance!PivotTable4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Improvement by</a:t>
            </a:r>
            <a:r>
              <a:rPr lang="en-US" baseline="0"/>
              <a:t> Attendance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'Improvement and Attendance'!$B$3</c:f>
              <c:strCache>
                <c:ptCount val="1"/>
                <c:pt idx="0">
                  <c:v>Sum of Decline</c:v>
                </c:pt>
              </c:strCache>
            </c:strRef>
          </c:tx>
          <c:spPr>
            <a:solidFill>
              <a:schemeClr val="accent1"/>
            </a:solidFill>
            <a:ln>
              <a:noFill/>
            </a:ln>
            <a:effectLst/>
          </c:spPr>
          <c:invertIfNegative val="0"/>
          <c:cat>
            <c:strRef>
              <c:f>'Improvement and Attendance'!$A$4:$A$7</c:f>
              <c:strCache>
                <c:ptCount val="3"/>
                <c:pt idx="0">
                  <c:v>Low</c:v>
                </c:pt>
                <c:pt idx="1">
                  <c:v>Medium</c:v>
                </c:pt>
                <c:pt idx="2">
                  <c:v>High</c:v>
                </c:pt>
              </c:strCache>
            </c:strRef>
          </c:cat>
          <c:val>
            <c:numRef>
              <c:f>'Improvement and Attendance'!$B$4:$B$7</c:f>
              <c:numCache>
                <c:formatCode>General</c:formatCode>
                <c:ptCount val="3"/>
                <c:pt idx="0">
                  <c:v>39</c:v>
                </c:pt>
                <c:pt idx="1">
                  <c:v>60</c:v>
                </c:pt>
                <c:pt idx="2">
                  <c:v>101</c:v>
                </c:pt>
              </c:numCache>
            </c:numRef>
          </c:val>
        </c:ser>
        <c:ser>
          <c:idx val="1"/>
          <c:order val="1"/>
          <c:tx>
            <c:strRef>
              <c:f>'Improvement and Attendance'!$C$3</c:f>
              <c:strCache>
                <c:ptCount val="1"/>
                <c:pt idx="0">
                  <c:v>Sum of Improved</c:v>
                </c:pt>
              </c:strCache>
            </c:strRef>
          </c:tx>
          <c:spPr>
            <a:solidFill>
              <a:schemeClr val="accent2"/>
            </a:solidFill>
            <a:ln>
              <a:noFill/>
            </a:ln>
            <a:effectLst/>
          </c:spPr>
          <c:invertIfNegative val="0"/>
          <c:cat>
            <c:strRef>
              <c:f>'Improvement and Attendance'!$A$4:$A$7</c:f>
              <c:strCache>
                <c:ptCount val="3"/>
                <c:pt idx="0">
                  <c:v>Low</c:v>
                </c:pt>
                <c:pt idx="1">
                  <c:v>Medium</c:v>
                </c:pt>
                <c:pt idx="2">
                  <c:v>High</c:v>
                </c:pt>
              </c:strCache>
            </c:strRef>
          </c:cat>
          <c:val>
            <c:numRef>
              <c:f>'Improvement and Attendance'!$C$4:$C$7</c:f>
              <c:numCache>
                <c:formatCode>General</c:formatCode>
                <c:ptCount val="3"/>
                <c:pt idx="0">
                  <c:v>0</c:v>
                </c:pt>
                <c:pt idx="1">
                  <c:v>0</c:v>
                </c:pt>
                <c:pt idx="2">
                  <c:v>0</c:v>
                </c:pt>
              </c:numCache>
            </c:numRef>
          </c:val>
        </c:ser>
        <c:dLbls>
          <c:showLegendKey val="0"/>
          <c:showVal val="0"/>
          <c:showCatName val="0"/>
          <c:showSerName val="0"/>
          <c:showPercent val="0"/>
          <c:showBubbleSize val="0"/>
        </c:dLbls>
        <c:gapWidth val="182"/>
        <c:axId val="427446448"/>
        <c:axId val="427450368"/>
      </c:barChart>
      <c:catAx>
        <c:axId val="42744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0368"/>
        <c:crosses val="autoZero"/>
        <c:auto val="1"/>
        <c:lblAlgn val="ctr"/>
        <c:lblOffset val="100"/>
        <c:noMultiLvlLbl val="0"/>
      </c:catAx>
      <c:valAx>
        <c:axId val="427450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46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baseline="0">
                <a:effectLst/>
                <a:latin typeface="Times New Roman" panose="02020603050405020304" pitchFamily="18" charset="0"/>
                <a:cs typeface="Times New Roman" panose="02020603050405020304" pitchFamily="18" charset="0"/>
              </a:rPr>
              <a:t>Does attendance affect student grade? </a:t>
            </a:r>
            <a:endParaRPr lang="en-US" sz="1200">
              <a:effectLst/>
              <a:latin typeface="Times New Roman" panose="02020603050405020304" pitchFamily="18" charset="0"/>
              <a:cs typeface="Times New Roman" panose="02020603050405020304" pitchFamily="18" charset="0"/>
            </a:endParaRPr>
          </a:p>
        </c:rich>
      </c:tx>
      <c:layout>
        <c:manualLayout>
          <c:xMode val="edge"/>
          <c:yMode val="edge"/>
          <c:x val="0.17226377952755909"/>
          <c:y val="4.6296296296296294E-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'Improvement '!$C$2</c:f>
              <c:strCache>
                <c:ptCount val="1"/>
                <c:pt idx="0">
                  <c:v>Decline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'!$C$3:$C$7</c:f>
              <c:numCache>
                <c:formatCode>General</c:formatCode>
                <c:ptCount val="5"/>
                <c:pt idx="0">
                  <c:v>32</c:v>
                </c:pt>
                <c:pt idx="1">
                  <c:v>37</c:v>
                </c:pt>
                <c:pt idx="2">
                  <c:v>38</c:v>
                </c:pt>
                <c:pt idx="3">
                  <c:v>44</c:v>
                </c:pt>
                <c:pt idx="4">
                  <c:v>49</c:v>
                </c:pt>
              </c:numCache>
            </c:numRef>
          </c:val>
        </c:ser>
        <c:ser>
          <c:idx val="1"/>
          <c:order val="1"/>
          <c:tx>
            <c:strRef>
              <c:f>'Improvement '!$D$2</c:f>
              <c:strCache>
                <c:ptCount val="1"/>
                <c:pt idx="0">
                  <c:v>Improved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'!$D$3:$D$7</c:f>
              <c:numCache>
                <c:formatCode>General</c:formatCode>
                <c:ptCount val="5"/>
                <c:pt idx="0">
                  <c:v>0</c:v>
                </c:pt>
                <c:pt idx="1">
                  <c:v>0</c:v>
                </c:pt>
                <c:pt idx="2">
                  <c:v>0</c:v>
                </c:pt>
                <c:pt idx="3">
                  <c:v>0</c:v>
                </c:pt>
                <c:pt idx="4">
                  <c:v>0</c:v>
                </c:pt>
              </c:numCache>
            </c:numRef>
          </c:val>
        </c:ser>
        <c:dLbls>
          <c:dLblPos val="outEnd"/>
          <c:showLegendKey val="0"/>
          <c:showVal val="1"/>
          <c:showCatName val="0"/>
          <c:showSerName val="0"/>
          <c:showPercent val="0"/>
          <c:showBubbleSize val="0"/>
        </c:dLbls>
        <c:gapWidth val="182"/>
        <c:axId val="427450760"/>
        <c:axId val="427449584"/>
      </c:barChart>
      <c:catAx>
        <c:axId val="427450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49584"/>
        <c:crosses val="autoZero"/>
        <c:auto val="1"/>
        <c:lblAlgn val="ctr"/>
        <c:lblOffset val="100"/>
        <c:noMultiLvlLbl val="0"/>
      </c:catAx>
      <c:valAx>
        <c:axId val="42744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07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Did Student Study Hour Increase?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118278066041035"/>
          <c:y val="0.16285373419231686"/>
          <c:w val="0.38499997669030273"/>
          <c:h val="0.65683329356557707"/>
        </c:manualLayout>
      </c:layout>
      <c:pieChart>
        <c:varyColors val="1"/>
        <c:ser>
          <c:idx val="0"/>
          <c:order val="0"/>
          <c:tx>
            <c:strRef>
              <c:f>'Improvement '!$C$13</c:f>
              <c:strCache>
                <c:ptCount val="1"/>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'!$B$14:$B$15</c:f>
              <c:strCache>
                <c:ptCount val="2"/>
                <c:pt idx="0">
                  <c:v>Increase</c:v>
                </c:pt>
                <c:pt idx="1">
                  <c:v>Decrease</c:v>
                </c:pt>
              </c:strCache>
            </c:strRef>
          </c:cat>
          <c:val>
            <c:numRef>
              <c:f>'Improvement '!$C$14:$C$15</c:f>
              <c:numCache>
                <c:formatCode>General</c:formatCode>
                <c:ptCount val="2"/>
                <c:pt idx="0">
                  <c:v>200</c:v>
                </c:pt>
                <c:pt idx="1">
                  <c:v>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 between Previous</a:t>
            </a:r>
            <a:r>
              <a:rPr lang="en-US" baseline="0"/>
              <a:t> and Examscore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1"/>
              <c:layout/>
              <c:dLblPos val="bestFi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'!$C$9:$D$9</c:f>
              <c:strCache>
                <c:ptCount val="2"/>
                <c:pt idx="0">
                  <c:v>PREVIOUS</c:v>
                </c:pt>
                <c:pt idx="1">
                  <c:v>EXAM</c:v>
                </c:pt>
              </c:strCache>
            </c:strRef>
          </c:cat>
          <c:val>
            <c:numRef>
              <c:f>'Improvement '!$C$10:$D$10</c:f>
              <c:numCache>
                <c:formatCode>General</c:formatCode>
                <c:ptCount val="2"/>
                <c:pt idx="0">
                  <c:v>34</c:v>
                </c:pt>
                <c:pt idx="1">
                  <c:v>162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and Study Hour!PivotTable6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s>
    <c:plotArea>
      <c:layout/>
      <c:barChart>
        <c:barDir val="col"/>
        <c:grouping val="clustered"/>
        <c:varyColors val="0"/>
        <c:ser>
          <c:idx val="0"/>
          <c:order val="0"/>
          <c:tx>
            <c:strRef>
              <c:f>'Previous and Study Hour'!$B$3</c:f>
              <c:strCache>
                <c:ptCount val="1"/>
                <c:pt idx="0">
                  <c:v>Total</c:v>
                </c:pt>
              </c:strCache>
            </c:strRef>
          </c:tx>
          <c:spPr>
            <a:solidFill>
              <a:schemeClr val="accent1"/>
            </a:solidFill>
            <a:ln>
              <a:noFill/>
            </a:ln>
            <a:effectLst/>
          </c:spPr>
          <c:invertIfNegative val="0"/>
          <c:cat>
            <c:strRef>
              <c:f>'Previous and Study Hour'!$A$4:$A$10</c:f>
              <c:strCache>
                <c:ptCount val="6"/>
                <c:pt idx="0">
                  <c:v>9-11</c:v>
                </c:pt>
                <c:pt idx="1">
                  <c:v>1-3</c:v>
                </c:pt>
                <c:pt idx="2">
                  <c:v>7-9</c:v>
                </c:pt>
                <c:pt idx="3">
                  <c:v>11-13</c:v>
                </c:pt>
                <c:pt idx="4">
                  <c:v>5-7</c:v>
                </c:pt>
                <c:pt idx="5">
                  <c:v>3-5</c:v>
                </c:pt>
              </c:strCache>
            </c:strRef>
          </c:cat>
          <c:val>
            <c:numRef>
              <c:f>'Previous and Study Hour'!$B$4:$B$10</c:f>
              <c:numCache>
                <c:formatCode>General</c:formatCode>
                <c:ptCount val="6"/>
                <c:pt idx="0">
                  <c:v>70.352941176470594</c:v>
                </c:pt>
                <c:pt idx="1">
                  <c:v>68.264705882352942</c:v>
                </c:pt>
                <c:pt idx="2">
                  <c:v>67.17647058823529</c:v>
                </c:pt>
                <c:pt idx="3">
                  <c:v>66.315789473684205</c:v>
                </c:pt>
                <c:pt idx="4">
                  <c:v>66.147058823529406</c:v>
                </c:pt>
                <c:pt idx="5">
                  <c:v>63.422222222222224</c:v>
                </c:pt>
              </c:numCache>
            </c:numRef>
          </c:val>
        </c:ser>
        <c:dLbls>
          <c:showLegendKey val="0"/>
          <c:showVal val="0"/>
          <c:showCatName val="0"/>
          <c:showSerName val="0"/>
          <c:showPercent val="0"/>
          <c:showBubbleSize val="0"/>
        </c:dLbls>
        <c:gapWidth val="219"/>
        <c:overlap val="-27"/>
        <c:axId val="427444880"/>
        <c:axId val="427451544"/>
      </c:barChart>
      <c:catAx>
        <c:axId val="42744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1544"/>
        <c:crosses val="autoZero"/>
        <c:auto val="1"/>
        <c:lblAlgn val="ctr"/>
        <c:lblOffset val="100"/>
        <c:noMultiLvlLbl val="0"/>
      </c:catAx>
      <c:valAx>
        <c:axId val="427451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4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.xlsx]Exam and study Hour!PivotTable6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s>
    <c:plotArea>
      <c:layout/>
      <c:barChart>
        <c:barDir val="col"/>
        <c:grouping val="clustered"/>
        <c:varyColors val="0"/>
        <c:ser>
          <c:idx val="0"/>
          <c:order val="0"/>
          <c:tx>
            <c:strRef>
              <c:f>'Exam and study Hour'!$B$3</c:f>
              <c:strCache>
                <c:ptCount val="1"/>
                <c:pt idx="0">
                  <c:v>Total</c:v>
                </c:pt>
              </c:strCache>
            </c:strRef>
          </c:tx>
          <c:spPr>
            <a:solidFill>
              <a:schemeClr val="accent1"/>
            </a:solidFill>
            <a:ln>
              <a:noFill/>
            </a:ln>
            <a:effectLst/>
          </c:spPr>
          <c:invertIfNegative val="0"/>
          <c:cat>
            <c:strRef>
              <c:f>'Exam and study Hour'!$A$4:$A$10</c:f>
              <c:strCache>
                <c:ptCount val="6"/>
                <c:pt idx="0">
                  <c:v>12-14</c:v>
                </c:pt>
                <c:pt idx="1">
                  <c:v>10-12</c:v>
                </c:pt>
                <c:pt idx="2">
                  <c:v>8-10</c:v>
                </c:pt>
                <c:pt idx="3">
                  <c:v>6-8</c:v>
                </c:pt>
                <c:pt idx="4">
                  <c:v>4-6</c:v>
                </c:pt>
                <c:pt idx="5">
                  <c:v>2-4</c:v>
                </c:pt>
              </c:strCache>
            </c:strRef>
          </c:cat>
          <c:val>
            <c:numRef>
              <c:f>'Exam and study Hour'!$B$4:$B$10</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427441744"/>
        <c:axId val="427451936"/>
      </c:barChart>
      <c:catAx>
        <c:axId val="42744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1936"/>
        <c:crosses val="autoZero"/>
        <c:auto val="1"/>
        <c:lblAlgn val="ctr"/>
        <c:lblOffset val="100"/>
        <c:noMultiLvlLbl val="0"/>
      </c:catAx>
      <c:valAx>
        <c:axId val="42745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4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.xlsx]Attendance and Study Hour!PivotTable6</c:name>
    <c:fmtId val="2"/>
  </c:pivotSource>
  <c:chart>
    <c:title>
      <c:tx>
        <c:rich>
          <a:bodyPr rot="0" spcFirstLastPara="1" vertOverflow="ellipsis" vert="horz" wrap="square" anchor="ctr" anchorCtr="1"/>
          <a:lstStyle/>
          <a:p>
            <a:pPr>
              <a:defRPr sz="1400" b="0" i="0" u="none" strike="noStrike" kern="1200" cap="none" spc="0" baseline="0">
                <a:ln w="0">
                  <a:noFill/>
                </a:ln>
                <a:solidFill>
                  <a:sysClr val="windowText" lastClr="000000"/>
                </a:solidFill>
                <a:effectLst/>
                <a:latin typeface="Times New Roman" panose="02020603050405020304" pitchFamily="18" charset="0"/>
                <a:ea typeface="+mn-ea"/>
                <a:cs typeface="Times New Roman" panose="02020603050405020304" pitchFamily="18" charset="0"/>
              </a:defRPr>
            </a:pPr>
            <a:r>
              <a:rPr lang="en-US" sz="1400" b="0" cap="none" spc="0">
                <a:ln w="0">
                  <a:noFill/>
                </a:ln>
                <a:solidFill>
                  <a:sysClr val="windowText" lastClr="000000"/>
                </a:solidFill>
                <a:effectLst/>
                <a:latin typeface="Times New Roman" panose="02020603050405020304" pitchFamily="18" charset="0"/>
                <a:ea typeface="Cambria" panose="02040503050406030204" pitchFamily="18" charset="0"/>
                <a:cs typeface="Times New Roman" panose="02020603050405020304" pitchFamily="18" charset="0"/>
              </a:rPr>
              <a:t>Relation ship between Atendance</a:t>
            </a:r>
            <a:r>
              <a:rPr lang="en-US" sz="1400" b="0" cap="none" spc="0" baseline="0">
                <a:ln w="0">
                  <a:noFill/>
                </a:ln>
                <a:solidFill>
                  <a:sysClr val="windowText" lastClr="000000"/>
                </a:solidFill>
                <a:effectLst/>
                <a:latin typeface="Times New Roman" panose="02020603050405020304" pitchFamily="18" charset="0"/>
                <a:ea typeface="Cambria" panose="02040503050406030204" pitchFamily="18" charset="0"/>
                <a:cs typeface="Times New Roman" panose="02020603050405020304" pitchFamily="18" charset="0"/>
              </a:rPr>
              <a:t> and Study Hour</a:t>
            </a:r>
            <a:endParaRPr lang="en-US" sz="1400" b="0" cap="none" spc="0">
              <a:ln w="0">
                <a:noFill/>
              </a:ln>
              <a:solidFill>
                <a:sysClr val="windowText" lastClr="000000"/>
              </a:solidFill>
              <a:effectLst/>
              <a:latin typeface="Times New Roman" panose="02020603050405020304" pitchFamily="18" charset="0"/>
              <a:ea typeface="Cambria" panose="020405030504060302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noFill/>
              </a:ln>
              <a:solidFill>
                <a:sysClr val="windowText" lastClr="000000"/>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col"/>
        <c:grouping val="clustered"/>
        <c:varyColors val="0"/>
        <c:ser>
          <c:idx val="0"/>
          <c:order val="0"/>
          <c:tx>
            <c:strRef>
              <c:f>'Attendance and Study Hour'!$B$3:$B$4</c:f>
              <c:strCache>
                <c:ptCount val="1"/>
                <c:pt idx="0">
                  <c:v>1-3</c:v>
                </c:pt>
              </c:strCache>
            </c:strRef>
          </c:tx>
          <c:spPr>
            <a:solidFill>
              <a:schemeClr val="accent1"/>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Hour'!$B$5:$B$10</c:f>
              <c:numCache>
                <c:formatCode>General</c:formatCode>
                <c:ptCount val="5"/>
                <c:pt idx="0">
                  <c:v>20.799999999999997</c:v>
                </c:pt>
                <c:pt idx="1">
                  <c:v>8.1000000000000014</c:v>
                </c:pt>
                <c:pt idx="2">
                  <c:v>11.700000000000001</c:v>
                </c:pt>
                <c:pt idx="3">
                  <c:v>12.1</c:v>
                </c:pt>
                <c:pt idx="4">
                  <c:v>11.200000000000001</c:v>
                </c:pt>
              </c:numCache>
            </c:numRef>
          </c:val>
        </c:ser>
        <c:ser>
          <c:idx val="1"/>
          <c:order val="1"/>
          <c:tx>
            <c:strRef>
              <c:f>'Attendance and Study Hour'!$C$3:$C$4</c:f>
              <c:strCache>
                <c:ptCount val="1"/>
                <c:pt idx="0">
                  <c:v>3-5</c:v>
                </c:pt>
              </c:strCache>
            </c:strRef>
          </c:tx>
          <c:spPr>
            <a:solidFill>
              <a:schemeClr val="accent2"/>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Hour'!$C$5:$C$10</c:f>
              <c:numCache>
                <c:formatCode>General</c:formatCode>
                <c:ptCount val="5"/>
                <c:pt idx="0">
                  <c:v>36.800000000000004</c:v>
                </c:pt>
                <c:pt idx="1">
                  <c:v>45.400000000000006</c:v>
                </c:pt>
                <c:pt idx="2">
                  <c:v>41.5</c:v>
                </c:pt>
                <c:pt idx="3">
                  <c:v>25.8</c:v>
                </c:pt>
                <c:pt idx="4">
                  <c:v>21.5</c:v>
                </c:pt>
              </c:numCache>
            </c:numRef>
          </c:val>
        </c:ser>
        <c:ser>
          <c:idx val="2"/>
          <c:order val="2"/>
          <c:tx>
            <c:strRef>
              <c:f>'Attendance and Study Hour'!$D$3:$D$4</c:f>
              <c:strCache>
                <c:ptCount val="1"/>
                <c:pt idx="0">
                  <c:v>5-7</c:v>
                </c:pt>
              </c:strCache>
            </c:strRef>
          </c:tx>
          <c:spPr>
            <a:solidFill>
              <a:schemeClr val="accent3"/>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Hour'!$D$5:$D$10</c:f>
              <c:numCache>
                <c:formatCode>General</c:formatCode>
                <c:ptCount val="5"/>
                <c:pt idx="0">
                  <c:v>68.599999999999994</c:v>
                </c:pt>
                <c:pt idx="1">
                  <c:v>23.700000000000003</c:v>
                </c:pt>
                <c:pt idx="2">
                  <c:v>37</c:v>
                </c:pt>
                <c:pt idx="3">
                  <c:v>34.300000000000004</c:v>
                </c:pt>
                <c:pt idx="4">
                  <c:v>40</c:v>
                </c:pt>
              </c:numCache>
            </c:numRef>
          </c:val>
        </c:ser>
        <c:ser>
          <c:idx val="3"/>
          <c:order val="3"/>
          <c:tx>
            <c:strRef>
              <c:f>'Attendance and Study Hour'!$E$3:$E$4</c:f>
              <c:strCache>
                <c:ptCount val="1"/>
                <c:pt idx="0">
                  <c:v>7-9</c:v>
                </c:pt>
              </c:strCache>
            </c:strRef>
          </c:tx>
          <c:spPr>
            <a:solidFill>
              <a:schemeClr val="accent4"/>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Hour'!$E$5:$E$10</c:f>
              <c:numCache>
                <c:formatCode>General</c:formatCode>
                <c:ptCount val="5"/>
                <c:pt idx="0">
                  <c:v>63.500000000000007</c:v>
                </c:pt>
                <c:pt idx="1">
                  <c:v>70.600000000000009</c:v>
                </c:pt>
                <c:pt idx="2">
                  <c:v>55.2</c:v>
                </c:pt>
                <c:pt idx="3">
                  <c:v>31</c:v>
                </c:pt>
                <c:pt idx="4">
                  <c:v>47.1</c:v>
                </c:pt>
              </c:numCache>
            </c:numRef>
          </c:val>
        </c:ser>
        <c:ser>
          <c:idx val="4"/>
          <c:order val="4"/>
          <c:tx>
            <c:strRef>
              <c:f>'Attendance and Study Hour'!$F$3:$F$4</c:f>
              <c:strCache>
                <c:ptCount val="1"/>
                <c:pt idx="0">
                  <c:v>9-11</c:v>
                </c:pt>
              </c:strCache>
            </c:strRef>
          </c:tx>
          <c:spPr>
            <a:solidFill>
              <a:schemeClr val="accent5"/>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Hour'!$F$5:$F$10</c:f>
              <c:numCache>
                <c:formatCode>General</c:formatCode>
                <c:ptCount val="5"/>
                <c:pt idx="0">
                  <c:v>58.699999999999996</c:v>
                </c:pt>
                <c:pt idx="1">
                  <c:v>48.6</c:v>
                </c:pt>
                <c:pt idx="2">
                  <c:v>72.100000000000009</c:v>
                </c:pt>
                <c:pt idx="3">
                  <c:v>90.2</c:v>
                </c:pt>
                <c:pt idx="4">
                  <c:v>70.7</c:v>
                </c:pt>
              </c:numCache>
            </c:numRef>
          </c:val>
        </c:ser>
        <c:ser>
          <c:idx val="5"/>
          <c:order val="5"/>
          <c:tx>
            <c:strRef>
              <c:f>'Attendance and Study Hour'!$G$3:$G$4</c:f>
              <c:strCache>
                <c:ptCount val="1"/>
                <c:pt idx="0">
                  <c:v>11-13</c:v>
                </c:pt>
              </c:strCache>
            </c:strRef>
          </c:tx>
          <c:spPr>
            <a:solidFill>
              <a:schemeClr val="accent6"/>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Hour'!$G$5:$G$10</c:f>
              <c:numCache>
                <c:formatCode>General</c:formatCode>
                <c:ptCount val="5"/>
                <c:pt idx="0">
                  <c:v>45.400000000000006</c:v>
                </c:pt>
                <c:pt idx="1">
                  <c:v>57.199999999999996</c:v>
                </c:pt>
                <c:pt idx="2">
                  <c:v>35.1</c:v>
                </c:pt>
                <c:pt idx="3">
                  <c:v>57.7</c:v>
                </c:pt>
                <c:pt idx="4">
                  <c:v>23.5</c:v>
                </c:pt>
              </c:numCache>
            </c:numRef>
          </c:val>
        </c:ser>
        <c:dLbls>
          <c:showLegendKey val="0"/>
          <c:showVal val="0"/>
          <c:showCatName val="0"/>
          <c:showSerName val="0"/>
          <c:showPercent val="0"/>
          <c:showBubbleSize val="0"/>
        </c:dLbls>
        <c:gapWidth val="219"/>
        <c:overlap val="-27"/>
        <c:axId val="427442528"/>
        <c:axId val="427442920"/>
      </c:barChart>
      <c:catAx>
        <c:axId val="4274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7442920"/>
        <c:crosses val="autoZero"/>
        <c:auto val="1"/>
        <c:lblAlgn val="ctr"/>
        <c:lblOffset val="100"/>
        <c:noMultiLvlLbl val="0"/>
      </c:catAx>
      <c:valAx>
        <c:axId val="427442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7442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.xlsx]Exam and study Hour!PivotTable6</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a:solidFill>
                  <a:sysClr val="windowText" lastClr="000000"/>
                </a:solidFill>
                <a:latin typeface="Times New Roman" panose="02020603050405020304" pitchFamily="18" charset="0"/>
                <a:ea typeface="Cambria" panose="02040503050406030204" pitchFamily="18" charset="0"/>
                <a:cs typeface="Times New Roman" panose="02020603050405020304" pitchFamily="18" charset="0"/>
              </a:rPr>
              <a:t>Relation Between Study Hour And Exam Score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6">
              <a:lumMod val="50000"/>
            </a:schemeClr>
          </a:solidFill>
          <a:ln>
            <a:noFill/>
          </a:ln>
          <a:effectLst/>
        </c:spPr>
        <c:marker>
          <c:symbol val="none"/>
        </c:marker>
      </c:pivotFmt>
    </c:pivotFmts>
    <c:plotArea>
      <c:layout>
        <c:manualLayout>
          <c:layoutTarget val="inner"/>
          <c:xMode val="edge"/>
          <c:yMode val="edge"/>
          <c:x val="0.14423907184346679"/>
          <c:y val="0.29820322180916975"/>
          <c:w val="0.72969985037858753"/>
          <c:h val="0.55806525578354749"/>
        </c:manualLayout>
      </c:layout>
      <c:barChart>
        <c:barDir val="col"/>
        <c:grouping val="clustered"/>
        <c:varyColors val="0"/>
        <c:ser>
          <c:idx val="0"/>
          <c:order val="0"/>
          <c:tx>
            <c:strRef>
              <c:f>'Exam and study Hour'!$B$3</c:f>
              <c:strCache>
                <c:ptCount val="1"/>
                <c:pt idx="0">
                  <c:v>Total</c:v>
                </c:pt>
              </c:strCache>
            </c:strRef>
          </c:tx>
          <c:spPr>
            <a:solidFill>
              <a:schemeClr val="accent6">
                <a:lumMod val="50000"/>
              </a:schemeClr>
            </a:solidFill>
            <a:ln>
              <a:noFill/>
            </a:ln>
            <a:effectLst/>
          </c:spPr>
          <c:invertIfNegative val="0"/>
          <c:cat>
            <c:strRef>
              <c:f>'Exam and study Hour'!$A$4:$A$10</c:f>
              <c:strCache>
                <c:ptCount val="6"/>
                <c:pt idx="0">
                  <c:v>12-14</c:v>
                </c:pt>
                <c:pt idx="1">
                  <c:v>10-12</c:v>
                </c:pt>
                <c:pt idx="2">
                  <c:v>8-10</c:v>
                </c:pt>
                <c:pt idx="3">
                  <c:v>6-8</c:v>
                </c:pt>
                <c:pt idx="4">
                  <c:v>4-6</c:v>
                </c:pt>
                <c:pt idx="5">
                  <c:v>2-4</c:v>
                </c:pt>
              </c:strCache>
            </c:strRef>
          </c:cat>
          <c:val>
            <c:numRef>
              <c:f>'Exam and study Hour'!$B$4:$B$10</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427443704"/>
        <c:axId val="427445272"/>
      </c:barChart>
      <c:catAx>
        <c:axId val="42744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7445272"/>
        <c:crosses val="autoZero"/>
        <c:auto val="1"/>
        <c:lblAlgn val="ctr"/>
        <c:lblOffset val="100"/>
        <c:noMultiLvlLbl val="0"/>
      </c:catAx>
      <c:valAx>
        <c:axId val="427445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7443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V Exam!PivotTable6</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a:solidFill>
                  <a:sysClr val="windowText" lastClr="000000"/>
                </a:solidFill>
                <a:latin typeface="Times New Roman" panose="02020603050405020304" pitchFamily="18" charset="0"/>
                <a:ea typeface="Cambria" panose="02040503050406030204" pitchFamily="18" charset="0"/>
                <a:cs typeface="Times New Roman" panose="02020603050405020304" pitchFamily="18" charset="0"/>
              </a:rPr>
              <a:t>Comparison Between Previous Score and Exam Score </a:t>
            </a:r>
          </a:p>
        </c:rich>
      </c:tx>
      <c:layout>
        <c:manualLayout>
          <c:xMode val="edge"/>
          <c:yMode val="edge"/>
          <c:x val="0.12763104733331626"/>
          <c:y val="5.47068434238493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lumMod val="50000"/>
            </a:schemeClr>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8.6128042204372146E-2"/>
          <c:y val="6.6040643851647401E-2"/>
          <c:w val="0.78275070526898427"/>
          <c:h val="0.8416746864975212"/>
        </c:manualLayout>
      </c:layout>
      <c:barChart>
        <c:barDir val="col"/>
        <c:grouping val="clustered"/>
        <c:varyColors val="0"/>
        <c:ser>
          <c:idx val="0"/>
          <c:order val="0"/>
          <c:tx>
            <c:strRef>
              <c:f>'Previous V Exam'!$B$4</c:f>
              <c:strCache>
                <c:ptCount val="1"/>
                <c:pt idx="0">
                  <c:v>Avg PS</c:v>
                </c:pt>
              </c:strCache>
            </c:strRef>
          </c:tx>
          <c:spPr>
            <a:solidFill>
              <a:schemeClr val="accent1">
                <a:lumMod val="50000"/>
              </a:schemeClr>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Exam'!$B$5:$B$11</c:f>
              <c:numCache>
                <c:formatCode>General</c:formatCode>
                <c:ptCount val="6"/>
                <c:pt idx="0">
                  <c:v>66.315789473684205</c:v>
                </c:pt>
                <c:pt idx="1">
                  <c:v>70.352941176470594</c:v>
                </c:pt>
                <c:pt idx="2">
                  <c:v>67.17647058823529</c:v>
                </c:pt>
                <c:pt idx="3">
                  <c:v>66.147058823529406</c:v>
                </c:pt>
                <c:pt idx="4">
                  <c:v>63.422222222222224</c:v>
                </c:pt>
                <c:pt idx="5">
                  <c:v>68.264705882352942</c:v>
                </c:pt>
              </c:numCache>
            </c:numRef>
          </c:val>
        </c:ser>
        <c:ser>
          <c:idx val="1"/>
          <c:order val="1"/>
          <c:tx>
            <c:strRef>
              <c:f>'Previous V Exam'!$C$4</c:f>
              <c:strCache>
                <c:ptCount val="1"/>
                <c:pt idx="0">
                  <c:v>Avg ES</c:v>
                </c:pt>
              </c:strCache>
            </c:strRef>
          </c:tx>
          <c:spPr>
            <a:solidFill>
              <a:schemeClr val="accent2"/>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Exam'!$C$5:$C$11</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427446840"/>
        <c:axId val="427447624"/>
      </c:barChart>
      <c:catAx>
        <c:axId val="427446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7447624"/>
        <c:crosses val="autoZero"/>
        <c:auto val="1"/>
        <c:lblAlgn val="ctr"/>
        <c:lblOffset val="100"/>
        <c:noMultiLvlLbl val="0"/>
      </c:catAx>
      <c:valAx>
        <c:axId val="4274476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7446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0" i="0" baseline="0">
                <a:solidFill>
                  <a:sysClr val="windowText" lastClr="000000"/>
                </a:solidFill>
                <a:effectLst/>
                <a:latin typeface="Times New Roman" panose="02020603050405020304" pitchFamily="18" charset="0"/>
                <a:cs typeface="Times New Roman" panose="02020603050405020304" pitchFamily="18" charset="0"/>
              </a:rPr>
              <a:t>Does attendance affect student grade? </a:t>
            </a:r>
            <a:endParaRPr lang="en-US" sz="1400">
              <a:solidFill>
                <a:sysClr val="windowText" lastClr="000000"/>
              </a:solidFill>
              <a:effectLst/>
              <a:latin typeface="Times New Roman" panose="02020603050405020304" pitchFamily="18" charset="0"/>
              <a:cs typeface="Times New Roman" panose="02020603050405020304" pitchFamily="18" charset="0"/>
            </a:endParaRPr>
          </a:p>
        </c:rich>
      </c:tx>
      <c:layout>
        <c:manualLayout>
          <c:xMode val="edge"/>
          <c:yMode val="edge"/>
          <c:x val="0.17226377952755909"/>
          <c:y val="4.6296296296296294E-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1393400824896888"/>
          <c:y val="0.17275362318840579"/>
          <c:w val="0.83219310730448548"/>
          <c:h val="0.5539783179276504"/>
        </c:manualLayout>
      </c:layout>
      <c:barChart>
        <c:barDir val="bar"/>
        <c:grouping val="clustered"/>
        <c:varyColors val="0"/>
        <c:ser>
          <c:idx val="0"/>
          <c:order val="0"/>
          <c:tx>
            <c:strRef>
              <c:f>'Improvement '!$C$2</c:f>
              <c:strCache>
                <c:ptCount val="1"/>
                <c:pt idx="0">
                  <c:v>Decline</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'!$C$3:$C$7</c:f>
              <c:numCache>
                <c:formatCode>General</c:formatCode>
                <c:ptCount val="5"/>
                <c:pt idx="0">
                  <c:v>32</c:v>
                </c:pt>
                <c:pt idx="1">
                  <c:v>37</c:v>
                </c:pt>
                <c:pt idx="2">
                  <c:v>38</c:v>
                </c:pt>
                <c:pt idx="3">
                  <c:v>44</c:v>
                </c:pt>
                <c:pt idx="4">
                  <c:v>49</c:v>
                </c:pt>
              </c:numCache>
            </c:numRef>
          </c:val>
        </c:ser>
        <c:ser>
          <c:idx val="1"/>
          <c:order val="1"/>
          <c:tx>
            <c:strRef>
              <c:f>'Improvement '!$D$2</c:f>
              <c:strCache>
                <c:ptCount val="1"/>
                <c:pt idx="0">
                  <c:v>Improved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'!$D$3:$D$7</c:f>
              <c:numCache>
                <c:formatCode>General</c:formatCode>
                <c:ptCount val="5"/>
                <c:pt idx="0">
                  <c:v>0</c:v>
                </c:pt>
                <c:pt idx="1">
                  <c:v>0</c:v>
                </c:pt>
                <c:pt idx="2">
                  <c:v>0</c:v>
                </c:pt>
                <c:pt idx="3">
                  <c:v>0</c:v>
                </c:pt>
                <c:pt idx="4">
                  <c:v>0</c:v>
                </c:pt>
              </c:numCache>
            </c:numRef>
          </c:val>
        </c:ser>
        <c:dLbls>
          <c:dLblPos val="outEnd"/>
          <c:showLegendKey val="0"/>
          <c:showVal val="1"/>
          <c:showCatName val="0"/>
          <c:showSerName val="0"/>
          <c:showPercent val="0"/>
          <c:showBubbleSize val="0"/>
        </c:dLbls>
        <c:gapWidth val="182"/>
        <c:axId val="631488488"/>
        <c:axId val="631479472"/>
      </c:barChart>
      <c:catAx>
        <c:axId val="631488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1479472"/>
        <c:crosses val="autoZero"/>
        <c:auto val="1"/>
        <c:lblAlgn val="ctr"/>
        <c:lblOffset val="100"/>
        <c:noMultiLvlLbl val="0"/>
      </c:catAx>
      <c:valAx>
        <c:axId val="631479472"/>
        <c:scaling>
          <c:orientation val="minMax"/>
        </c:scaling>
        <c:delete val="0"/>
        <c:axPos val="b"/>
        <c:numFmt formatCode="General" sourceLinked="1"/>
        <c:majorTickMark val="none"/>
        <c:minorTickMark val="none"/>
        <c:tickLblPos val="low"/>
        <c:spPr>
          <a:noFill/>
          <a:ln>
            <a:noFill/>
          </a:ln>
          <a:effectLst/>
        </c:spPr>
        <c:txPr>
          <a:bodyPr rot="-120000" spcFirstLastPara="1" vertOverflow="ellipsis" wrap="square" anchor="ctr" anchorCtr="0"/>
          <a:lstStyle/>
          <a:p>
            <a:pPr>
              <a:defRPr sz="900" b="0" i="0" u="none" strike="noStrike" kern="1200" baseline="0">
                <a:solidFill>
                  <a:sysClr val="windowText" lastClr="000000"/>
                </a:solidFill>
                <a:latin typeface="+mn-lt"/>
                <a:ea typeface="+mn-ea"/>
                <a:cs typeface="+mn-cs"/>
              </a:defRPr>
            </a:pPr>
            <a:endParaRPr lang="en-US"/>
          </a:p>
        </c:txPr>
        <c:crossAx val="631488488"/>
        <c:crosses val="autoZero"/>
        <c:crossBetween val="between"/>
      </c:valAx>
      <c:spPr>
        <a:noFill/>
        <a:ln>
          <a:noFill/>
        </a:ln>
        <a:effectLst/>
      </c:spPr>
    </c:plotArea>
    <c:legend>
      <c:legendPos val="b"/>
      <c:layout>
        <c:manualLayout>
          <c:xMode val="edge"/>
          <c:yMode val="edge"/>
          <c:x val="0.34326984126984122"/>
          <c:y val="0.90217322834645663"/>
          <c:w val="0.31346006749156358"/>
          <c:h val="9.78267716535433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a:solidFill>
                  <a:sysClr val="windowText" lastClr="000000"/>
                </a:solidFill>
                <a:latin typeface="Times New Roman" panose="02020603050405020304" pitchFamily="18" charset="0"/>
                <a:cs typeface="Times New Roman" panose="02020603050405020304" pitchFamily="18" charset="0"/>
              </a:rPr>
              <a:t>Did Student Study Hour Increase?</a:t>
            </a:r>
          </a:p>
        </c:rich>
      </c:tx>
      <c:layout>
        <c:manualLayout>
          <c:xMode val="edge"/>
          <c:yMode val="edge"/>
          <c:x val="0.22870742041206124"/>
          <c:y val="8.2909081413419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3118278066041035"/>
          <c:y val="0.16285373419231686"/>
          <c:w val="0.38499997669030273"/>
          <c:h val="0.65683329356557707"/>
        </c:manualLayout>
      </c:layout>
      <c:pieChart>
        <c:varyColors val="1"/>
        <c:ser>
          <c:idx val="0"/>
          <c:order val="0"/>
          <c:tx>
            <c:strRef>
              <c:f>'Improvement '!$C$13</c:f>
              <c:strCache>
                <c:ptCount val="1"/>
              </c:strCache>
            </c:strRef>
          </c:tx>
          <c:dPt>
            <c:idx val="0"/>
            <c:bubble3D val="0"/>
            <c:spPr>
              <a:solidFill>
                <a:schemeClr val="accent2">
                  <a:lumMod val="50000"/>
                </a:schemeClr>
              </a:solidFill>
              <a:ln w="19050">
                <a:solidFill>
                  <a:schemeClr val="lt1"/>
                </a:solidFill>
              </a:ln>
              <a:effectLst/>
            </c:spPr>
          </c:dPt>
          <c:dPt>
            <c:idx val="1"/>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'!$B$14:$B$15</c:f>
              <c:strCache>
                <c:ptCount val="2"/>
                <c:pt idx="0">
                  <c:v>Increase</c:v>
                </c:pt>
                <c:pt idx="1">
                  <c:v>Decrease</c:v>
                </c:pt>
              </c:strCache>
            </c:strRef>
          </c:cat>
          <c:val>
            <c:numRef>
              <c:f>'Improvement '!$C$14:$C$15</c:f>
              <c:numCache>
                <c:formatCode>General</c:formatCode>
                <c:ptCount val="2"/>
                <c:pt idx="0">
                  <c:v>200</c:v>
                </c:pt>
                <c:pt idx="1">
                  <c:v>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Fail% between Previous</a:t>
            </a:r>
            <a:r>
              <a:rPr lang="en-US" baseline="0">
                <a:solidFill>
                  <a:schemeClr val="tx1"/>
                </a:solidFill>
              </a:rPr>
              <a:t> and Examscore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1"/>
              <c:layout/>
              <c:dLblPos val="bestFi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'Improvement '!$C$9:$D$9</c:f>
              <c:strCache>
                <c:ptCount val="2"/>
                <c:pt idx="0">
                  <c:v>PREVIOUS</c:v>
                </c:pt>
                <c:pt idx="1">
                  <c:v>EXAM</c:v>
                </c:pt>
              </c:strCache>
            </c:strRef>
          </c:cat>
          <c:val>
            <c:numRef>
              <c:f>'Improvement '!$C$10:$D$10</c:f>
              <c:numCache>
                <c:formatCode>General</c:formatCode>
                <c:ptCount val="2"/>
                <c:pt idx="0">
                  <c:v>34</c:v>
                </c:pt>
                <c:pt idx="1">
                  <c:v>162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68580</xdr:colOff>
      <xdr:row>13</xdr:row>
      <xdr:rowOff>3810</xdr:rowOff>
    </xdr:from>
    <xdr:to>
      <xdr:col>14</xdr:col>
      <xdr:colOff>335280</xdr:colOff>
      <xdr:row>28</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160020</xdr:colOff>
      <xdr:row>18</xdr:row>
      <xdr:rowOff>160020</xdr:rowOff>
    </xdr:from>
    <xdr:to>
      <xdr:col>20</xdr:col>
      <xdr:colOff>228600</xdr:colOff>
      <xdr:row>32</xdr:row>
      <xdr:rowOff>66675</xdr:rowOff>
    </xdr:to>
    <mc:AlternateContent xmlns:mc="http://schemas.openxmlformats.org/markup-compatibility/2006" xmlns:a14="http://schemas.microsoft.com/office/drawing/2010/main">
      <mc:Choice Requires="a14">
        <xdr:graphicFrame macro="">
          <xdr:nvGraphicFramePr>
            <xdr:cNvPr id="3" name="Hours_Studied"/>
            <xdr:cNvGraphicFramePr/>
          </xdr:nvGraphicFramePr>
          <xdr:xfrm>
            <a:off x="0" y="0"/>
            <a:ext cx="0" cy="0"/>
          </xdr:xfrm>
          <a:graphic>
            <a:graphicData uri="http://schemas.microsoft.com/office/drawing/2010/slicer">
              <sle:slicer xmlns:sle="http://schemas.microsoft.com/office/drawing/2010/slicer" name="Hours_Studied"/>
            </a:graphicData>
          </a:graphic>
        </xdr:graphicFrame>
      </mc:Choice>
      <mc:Fallback xmlns="">
        <xdr:sp macro="" textlink="">
          <xdr:nvSpPr>
            <xdr:cNvPr id="0" name=""/>
            <xdr:cNvSpPr>
              <a:spLocks noTextEdit="1"/>
            </xdr:cNvSpPr>
          </xdr:nvSpPr>
          <xdr:spPr>
            <a:xfrm>
              <a:off x="8343900" y="3451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845820</xdr:colOff>
      <xdr:row>0</xdr:row>
      <xdr:rowOff>129540</xdr:rowOff>
    </xdr:from>
    <xdr:to>
      <xdr:col>7</xdr:col>
      <xdr:colOff>792480</xdr:colOff>
      <xdr:row>14</xdr:row>
      <xdr:rowOff>68580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533400</xdr:colOff>
      <xdr:row>12</xdr:row>
      <xdr:rowOff>137160</xdr:rowOff>
    </xdr:from>
    <xdr:to>
      <xdr:col>2</xdr:col>
      <xdr:colOff>568960</xdr:colOff>
      <xdr:row>26</xdr:row>
      <xdr:rowOff>43815</xdr:rowOff>
    </xdr:to>
    <mc:AlternateContent xmlns:mc="http://schemas.openxmlformats.org/markup-compatibility/2006" xmlns:a14="http://schemas.microsoft.com/office/drawing/2010/main">
      <mc:Choice Requires="a14">
        <xdr:graphicFrame macro="">
          <xdr:nvGraphicFramePr>
            <xdr:cNvPr id="5" name="Attendance_Percent"/>
            <xdr:cNvGraphicFramePr/>
          </xdr:nvGraphicFramePr>
          <xdr:xfrm>
            <a:off x="0" y="0"/>
            <a:ext cx="0" cy="0"/>
          </xdr:xfrm>
          <a:graphic>
            <a:graphicData uri="http://schemas.microsoft.com/office/drawing/2010/slicer">
              <sle:slicer xmlns:sle="http://schemas.microsoft.com/office/drawing/2010/slicer" name="Attendance_Percent"/>
            </a:graphicData>
          </a:graphic>
        </xdr:graphicFrame>
      </mc:Choice>
      <mc:Fallback xmlns="">
        <xdr:sp macro="" textlink="">
          <xdr:nvSpPr>
            <xdr:cNvPr id="0" name=""/>
            <xdr:cNvSpPr>
              <a:spLocks noTextEdit="1"/>
            </xdr:cNvSpPr>
          </xdr:nvSpPr>
          <xdr:spPr>
            <a:xfrm>
              <a:off x="533400" y="2331720"/>
              <a:ext cx="18338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11</xdr:row>
      <xdr:rowOff>167640</xdr:rowOff>
    </xdr:from>
    <xdr:to>
      <xdr:col>10</xdr:col>
      <xdr:colOff>601980</xdr:colOff>
      <xdr:row>24</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106680</xdr:colOff>
      <xdr:row>0</xdr:row>
      <xdr:rowOff>83820</xdr:rowOff>
    </xdr:from>
    <xdr:to>
      <xdr:col>10</xdr:col>
      <xdr:colOff>640080</xdr:colOff>
      <xdr:row>14</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662940</xdr:colOff>
      <xdr:row>0</xdr:row>
      <xdr:rowOff>91440</xdr:rowOff>
    </xdr:from>
    <xdr:to>
      <xdr:col>17</xdr:col>
      <xdr:colOff>259080</xdr:colOff>
      <xdr:row>14</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10</xdr:row>
      <xdr:rowOff>167640</xdr:rowOff>
    </xdr:from>
    <xdr:to>
      <xdr:col>11</xdr:col>
      <xdr:colOff>220980</xdr:colOff>
      <xdr:row>25</xdr:row>
      <xdr:rowOff>167640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68580</xdr:colOff>
      <xdr:row>13</xdr:row>
      <xdr:rowOff>3810</xdr:rowOff>
    </xdr:from>
    <xdr:to>
      <xdr:col>14</xdr:col>
      <xdr:colOff>335280</xdr:colOff>
      <xdr:row>28</xdr:row>
      <xdr:rowOff>3810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68580</xdr:colOff>
      <xdr:row>13</xdr:row>
      <xdr:rowOff>3810</xdr:rowOff>
    </xdr:from>
    <xdr:to>
      <xdr:col>14</xdr:col>
      <xdr:colOff>335280</xdr:colOff>
      <xdr:row>28</xdr:row>
      <xdr:rowOff>3810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176528</xdr:colOff>
      <xdr:row>10</xdr:row>
      <xdr:rowOff>116417</xdr:rowOff>
    </xdr:from>
    <xdr:to>
      <xdr:col>14</xdr:col>
      <xdr:colOff>222249</xdr:colOff>
      <xdr:row>26</xdr:row>
      <xdr:rowOff>42334</xdr:rowOff>
    </xdr:to>
    <xdr:sp macro="" textlink="">
      <xdr:nvSpPr>
        <xdr:cNvPr id="43" name="Rounded Rectangle 42"/>
        <xdr:cNvSpPr/>
      </xdr:nvSpPr>
      <xdr:spPr>
        <a:xfrm>
          <a:off x="5087195" y="1915584"/>
          <a:ext cx="3728721" cy="2804583"/>
        </a:xfrm>
        <a:prstGeom prst="roundRect">
          <a:avLst>
            <a:gd name="adj" fmla="val 38800"/>
          </a:avLst>
        </a:prstGeom>
        <a:solidFill>
          <a:schemeClr val="accent6">
            <a:lumMod val="20000"/>
            <a:lumOff val="80000"/>
          </a:schemeClr>
        </a:solidFill>
        <a:ln>
          <a:solidFill>
            <a:srgbClr val="66330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254000</xdr:colOff>
      <xdr:row>27</xdr:row>
      <xdr:rowOff>52921</xdr:rowOff>
    </xdr:from>
    <xdr:to>
      <xdr:col>20</xdr:col>
      <xdr:colOff>589703</xdr:colOff>
      <xdr:row>42</xdr:row>
      <xdr:rowOff>97371</xdr:rowOff>
    </xdr:to>
    <xdr:sp macro="" textlink="">
      <xdr:nvSpPr>
        <xdr:cNvPr id="25" name="Rounded Rectangle 24"/>
        <xdr:cNvSpPr/>
      </xdr:nvSpPr>
      <xdr:spPr>
        <a:xfrm>
          <a:off x="8847667" y="4910671"/>
          <a:ext cx="4018703" cy="2743200"/>
        </a:xfrm>
        <a:prstGeom prst="roundRect">
          <a:avLst/>
        </a:prstGeom>
        <a:solidFill>
          <a:schemeClr val="accent6">
            <a:lumMod val="20000"/>
            <a:lumOff val="80000"/>
          </a:schemeClr>
        </a:solidFill>
        <a:ln>
          <a:solidFill>
            <a:srgbClr val="66330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275165</xdr:colOff>
      <xdr:row>10</xdr:row>
      <xdr:rowOff>158750</xdr:rowOff>
    </xdr:from>
    <xdr:to>
      <xdr:col>20</xdr:col>
      <xdr:colOff>610869</xdr:colOff>
      <xdr:row>26</xdr:row>
      <xdr:rowOff>23284</xdr:rowOff>
    </xdr:to>
    <xdr:sp macro="" textlink="">
      <xdr:nvSpPr>
        <xdr:cNvPr id="27" name="Rounded Rectangle 26"/>
        <xdr:cNvSpPr/>
      </xdr:nvSpPr>
      <xdr:spPr>
        <a:xfrm>
          <a:off x="8868832" y="1957917"/>
          <a:ext cx="4018704" cy="2743200"/>
        </a:xfrm>
        <a:prstGeom prst="roundRect">
          <a:avLst/>
        </a:prstGeom>
        <a:solidFill>
          <a:schemeClr val="accent6">
            <a:lumMod val="20000"/>
            <a:lumOff val="80000"/>
          </a:schemeClr>
        </a:solidFill>
        <a:ln>
          <a:solidFill>
            <a:srgbClr val="66330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338667</xdr:colOff>
      <xdr:row>27</xdr:row>
      <xdr:rowOff>2</xdr:rowOff>
    </xdr:from>
    <xdr:to>
      <xdr:col>8</xdr:col>
      <xdr:colOff>113453</xdr:colOff>
      <xdr:row>42</xdr:row>
      <xdr:rowOff>44452</xdr:rowOff>
    </xdr:to>
    <xdr:sp macro="" textlink="">
      <xdr:nvSpPr>
        <xdr:cNvPr id="33" name="Rounded Rectangle 32"/>
        <xdr:cNvSpPr/>
      </xdr:nvSpPr>
      <xdr:spPr>
        <a:xfrm>
          <a:off x="952500" y="4857752"/>
          <a:ext cx="4071620" cy="2743200"/>
        </a:xfrm>
        <a:prstGeom prst="roundRect">
          <a:avLst/>
        </a:prstGeom>
        <a:solidFill>
          <a:schemeClr val="accent6">
            <a:lumMod val="20000"/>
            <a:lumOff val="80000"/>
          </a:schemeClr>
        </a:solidFill>
        <a:ln>
          <a:solidFill>
            <a:srgbClr val="66330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211665</xdr:colOff>
      <xdr:row>26</xdr:row>
      <xdr:rowOff>116418</xdr:rowOff>
    </xdr:from>
    <xdr:to>
      <xdr:col>14</xdr:col>
      <xdr:colOff>201082</xdr:colOff>
      <xdr:row>42</xdr:row>
      <xdr:rowOff>116417</xdr:rowOff>
    </xdr:to>
    <xdr:sp macro="" textlink="">
      <xdr:nvSpPr>
        <xdr:cNvPr id="35" name="Rounded Rectangle 34"/>
        <xdr:cNvSpPr/>
      </xdr:nvSpPr>
      <xdr:spPr>
        <a:xfrm>
          <a:off x="5122332" y="4794251"/>
          <a:ext cx="3672417" cy="2878666"/>
        </a:xfrm>
        <a:prstGeom prst="roundRect">
          <a:avLst>
            <a:gd name="adj" fmla="val 31486"/>
          </a:avLst>
        </a:prstGeom>
        <a:solidFill>
          <a:schemeClr val="accent6">
            <a:lumMod val="20000"/>
            <a:lumOff val="80000"/>
          </a:schemeClr>
        </a:solidFill>
        <a:ln>
          <a:solidFill>
            <a:srgbClr val="663300"/>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338667</xdr:colOff>
      <xdr:row>10</xdr:row>
      <xdr:rowOff>158751</xdr:rowOff>
    </xdr:from>
    <xdr:to>
      <xdr:col>8</xdr:col>
      <xdr:colOff>113453</xdr:colOff>
      <xdr:row>26</xdr:row>
      <xdr:rowOff>23285</xdr:rowOff>
    </xdr:to>
    <xdr:sp macro="" textlink="">
      <xdr:nvSpPr>
        <xdr:cNvPr id="8" name="Rounded Rectangle 7"/>
        <xdr:cNvSpPr/>
      </xdr:nvSpPr>
      <xdr:spPr>
        <a:xfrm>
          <a:off x="952500" y="1957918"/>
          <a:ext cx="4071620" cy="274320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132927</xdr:colOff>
      <xdr:row>0</xdr:row>
      <xdr:rowOff>137160</xdr:rowOff>
    </xdr:from>
    <xdr:ext cx="11917680" cy="1249258"/>
    <xdr:sp macro="" textlink="">
      <xdr:nvSpPr>
        <xdr:cNvPr id="2" name="TextBox 1"/>
        <xdr:cNvSpPr txBox="1"/>
      </xdr:nvSpPr>
      <xdr:spPr>
        <a:xfrm>
          <a:off x="746760" y="137160"/>
          <a:ext cx="11917680" cy="1249258"/>
        </a:xfrm>
        <a:prstGeom prst="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pPr algn="ctr"/>
          <a:r>
            <a:rPr lang="en-US" sz="2400" b="1" cap="none" spc="0">
              <a:ln w="10160">
                <a:noFill/>
                <a:prstDash val="solid"/>
              </a:ln>
              <a:solidFill>
                <a:sysClr val="windowText" lastClr="000000"/>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Times New Roman" panose="02020603050405020304" pitchFamily="18" charset="0"/>
            </a:rPr>
            <a:t>STUDENT</a:t>
          </a:r>
          <a:r>
            <a:rPr lang="en-US" sz="24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Times New Roman" panose="02020603050405020304" pitchFamily="18" charset="0"/>
            </a:rPr>
            <a:t> PERFOMANCE ANALYSIS </a:t>
          </a:r>
        </a:p>
        <a:p>
          <a:pPr algn="ctr"/>
          <a:r>
            <a:rPr lang="en-US" sz="2400" b="1" cap="none" spc="0" baseline="0">
              <a:ln w="10160">
                <a:noFill/>
                <a:prstDash val="solid"/>
              </a:ln>
              <a:solidFill>
                <a:sysClr val="windowText" lastClr="000000"/>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Times New Roman" panose="02020603050405020304" pitchFamily="18" charset="0"/>
            </a:rPr>
            <a:t>DASH BOARD</a:t>
          </a:r>
        </a:p>
        <a:p>
          <a:pPr algn="ctr"/>
          <a:r>
            <a:rPr lang="en-US" sz="1800" b="1" i="1" cap="none" spc="0">
              <a:ln w="0"/>
              <a:solidFill>
                <a:schemeClr val="tx1"/>
              </a:solidFill>
              <a:effectLst/>
              <a:latin typeface="Times New Roman" panose="02020603050405020304" pitchFamily="18" charset="0"/>
              <a:ea typeface="Cambria" panose="02040503050406030204" pitchFamily="18" charset="0"/>
              <a:cs typeface="Times New Roman" panose="02020603050405020304" pitchFamily="18" charset="0"/>
            </a:rPr>
            <a:t>Prepared by Ambali Ayishat(Data Analyst)</a:t>
          </a:r>
        </a:p>
      </xdr:txBody>
    </xdr:sp>
    <xdr:clientData/>
  </xdr:oneCellAnchor>
  <xdr:oneCellAnchor>
    <xdr:from>
      <xdr:col>21</xdr:col>
      <xdr:colOff>195155</xdr:colOff>
      <xdr:row>7</xdr:row>
      <xdr:rowOff>126154</xdr:rowOff>
    </xdr:from>
    <xdr:ext cx="1226820" cy="784014"/>
    <xdr:sp macro="" textlink="">
      <xdr:nvSpPr>
        <xdr:cNvPr id="3" name="TextBox 2"/>
        <xdr:cNvSpPr txBox="1"/>
      </xdr:nvSpPr>
      <xdr:spPr>
        <a:xfrm>
          <a:off x="13085655" y="1385571"/>
          <a:ext cx="1226820" cy="784014"/>
        </a:xfrm>
        <a:prstGeom prst="rect">
          <a:avLst/>
        </a:prstGeom>
        <a:noFill/>
        <a:ln>
          <a:solidFill>
            <a:schemeClr val="bg2"/>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r>
            <a:rPr lang="en-US" sz="2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200</a:t>
          </a:r>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a:t>
          </a: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Student </a:t>
          </a: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a:t>
          </a:r>
        </a:p>
      </xdr:txBody>
    </xdr:sp>
    <xdr:clientData/>
  </xdr:oneCellAnchor>
  <xdr:oneCellAnchor>
    <xdr:from>
      <xdr:col>21</xdr:col>
      <xdr:colOff>168062</xdr:colOff>
      <xdr:row>12</xdr:row>
      <xdr:rowOff>61384</xdr:rowOff>
    </xdr:from>
    <xdr:ext cx="1281855" cy="742950"/>
    <xdr:sp macro="" textlink="">
      <xdr:nvSpPr>
        <xdr:cNvPr id="4" name="TextBox 3"/>
        <xdr:cNvSpPr txBox="1"/>
      </xdr:nvSpPr>
      <xdr:spPr>
        <a:xfrm>
          <a:off x="13058562" y="2220384"/>
          <a:ext cx="1281855" cy="742950"/>
        </a:xfrm>
        <a:prstGeom prst="rect">
          <a:avLst/>
        </a:prstGeom>
        <a:noFill/>
        <a:ln>
          <a:solidFill>
            <a:schemeClr val="tx2"/>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50-100</a:t>
          </a:r>
        </a:p>
        <a:p>
          <a:r>
            <a:rPr lang="en-US" sz="12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r>
            <a:rPr lang="en-US" sz="12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Attendance </a:t>
          </a:r>
        </a:p>
      </xdr:txBody>
    </xdr:sp>
    <xdr:clientData/>
  </xdr:oneCellAnchor>
  <xdr:twoCellAnchor>
    <xdr:from>
      <xdr:col>1</xdr:col>
      <xdr:colOff>581659</xdr:colOff>
      <xdr:row>11</xdr:row>
      <xdr:rowOff>169334</xdr:rowOff>
    </xdr:from>
    <xdr:to>
      <xdr:col>7</xdr:col>
      <xdr:colOff>497839</xdr:colOff>
      <xdr:row>24</xdr:row>
      <xdr:rowOff>176953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84668</xdr:colOff>
      <xdr:row>16</xdr:row>
      <xdr:rowOff>116419</xdr:rowOff>
    </xdr:from>
    <xdr:to>
      <xdr:col>23</xdr:col>
      <xdr:colOff>317501</xdr:colOff>
      <xdr:row>28</xdr:row>
      <xdr:rowOff>0</xdr:rowOff>
    </xdr:to>
    <mc:AlternateContent xmlns:mc="http://schemas.openxmlformats.org/markup-compatibility/2006">
      <mc:Choice xmlns:a14="http://schemas.microsoft.com/office/drawing/2010/main" Requires="a14">
        <xdr:graphicFrame macro="">
          <xdr:nvGraphicFramePr>
            <xdr:cNvPr id="7" name="Hours_Studied 3"/>
            <xdr:cNvGraphicFramePr/>
          </xdr:nvGraphicFramePr>
          <xdr:xfrm>
            <a:off x="0" y="0"/>
            <a:ext cx="0" cy="0"/>
          </xdr:xfrm>
          <a:graphic>
            <a:graphicData uri="http://schemas.microsoft.com/office/drawing/2010/slicer">
              <sle:slicer xmlns:sle="http://schemas.microsoft.com/office/drawing/2010/slicer" name="Hours_Studied 3"/>
            </a:graphicData>
          </a:graphic>
        </xdr:graphicFrame>
      </mc:Choice>
      <mc:Fallback>
        <xdr:sp macro="" textlink="">
          <xdr:nvSpPr>
            <xdr:cNvPr id="0" name=""/>
            <xdr:cNvSpPr>
              <a:spLocks noTextEdit="1"/>
            </xdr:cNvSpPr>
          </xdr:nvSpPr>
          <xdr:spPr>
            <a:xfrm>
              <a:off x="12975168" y="2995086"/>
              <a:ext cx="1460500" cy="2042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536364</xdr:colOff>
      <xdr:row>27</xdr:row>
      <xdr:rowOff>84667</xdr:rowOff>
    </xdr:from>
    <xdr:to>
      <xdr:col>7</xdr:col>
      <xdr:colOff>467784</xdr:colOff>
      <xdr:row>40</xdr:row>
      <xdr:rowOff>134198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84666</xdr:colOff>
      <xdr:row>28</xdr:row>
      <xdr:rowOff>74082</xdr:rowOff>
    </xdr:from>
    <xdr:to>
      <xdr:col>23</xdr:col>
      <xdr:colOff>370416</xdr:colOff>
      <xdr:row>40</xdr:row>
      <xdr:rowOff>95250</xdr:rowOff>
    </xdr:to>
    <mc:AlternateContent xmlns:mc="http://schemas.openxmlformats.org/markup-compatibility/2006">
      <mc:Choice xmlns:a14="http://schemas.microsoft.com/office/drawing/2010/main" Requires="a14">
        <xdr:graphicFrame macro="">
          <xdr:nvGraphicFramePr>
            <xdr:cNvPr id="12" name="Attendance_Percent 1"/>
            <xdr:cNvGraphicFramePr/>
          </xdr:nvGraphicFramePr>
          <xdr:xfrm>
            <a:off x="0" y="0"/>
            <a:ext cx="0" cy="0"/>
          </xdr:xfrm>
          <a:graphic>
            <a:graphicData uri="http://schemas.microsoft.com/office/drawing/2010/slicer">
              <sle:slicer xmlns:sle="http://schemas.microsoft.com/office/drawing/2010/slicer" name="Attendance_Percent 1"/>
            </a:graphicData>
          </a:graphic>
        </xdr:graphicFrame>
      </mc:Choice>
      <mc:Fallback>
        <xdr:sp macro="" textlink="">
          <xdr:nvSpPr>
            <xdr:cNvPr id="0" name=""/>
            <xdr:cNvSpPr>
              <a:spLocks noTextEdit="1"/>
            </xdr:cNvSpPr>
          </xdr:nvSpPr>
          <xdr:spPr>
            <a:xfrm>
              <a:off x="12975166" y="5111749"/>
              <a:ext cx="1513417" cy="218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455081</xdr:colOff>
      <xdr:row>11</xdr:row>
      <xdr:rowOff>105834</xdr:rowOff>
    </xdr:from>
    <xdr:to>
      <xdr:col>20</xdr:col>
      <xdr:colOff>596898</xdr:colOff>
      <xdr:row>25</xdr:row>
      <xdr:rowOff>169334</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328084</xdr:colOff>
      <xdr:row>28</xdr:row>
      <xdr:rowOff>42334</xdr:rowOff>
    </xdr:from>
    <xdr:to>
      <xdr:col>21</xdr:col>
      <xdr:colOff>31751</xdr:colOff>
      <xdr:row>41</xdr:row>
      <xdr:rowOff>116419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63501</xdr:colOff>
      <xdr:row>10</xdr:row>
      <xdr:rowOff>148168</xdr:rowOff>
    </xdr:from>
    <xdr:to>
      <xdr:col>14</xdr:col>
      <xdr:colOff>182878</xdr:colOff>
      <xdr:row>26</xdr:row>
      <xdr:rowOff>42335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137583</xdr:colOff>
      <xdr:row>27</xdr:row>
      <xdr:rowOff>63501</xdr:rowOff>
    </xdr:from>
    <xdr:to>
      <xdr:col>14</xdr:col>
      <xdr:colOff>306916</xdr:colOff>
      <xdr:row>42</xdr:row>
      <xdr:rowOff>12702</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hedash" refreshedDate="45934.842564699073" createdVersion="5" refreshedVersion="5" minRefreshableVersion="3" recordCount="3">
  <cacheSource type="worksheet">
    <worksheetSource ref="R1:R4" sheet="student_exam_scores "/>
  </cacheSource>
  <cacheFields count="3">
    <cacheField name="Attendance" numFmtId="0">
      <sharedItems count="3">
        <s v="Low"/>
        <s v="Medium"/>
        <s v="High"/>
      </sharedItems>
    </cacheField>
    <cacheField name="Decline" numFmtId="0">
      <sharedItems containsSemiMixedTypes="0" containsString="0" containsNumber="1" containsInteger="1" minValue="39" maxValue="101"/>
    </cacheField>
    <cacheField name="Improved"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Khedash" refreshedDate="45934.855968865741" createdVersion="5" refreshedVersion="5" minRefreshableVersion="3" recordCount="200">
  <cacheSource type="worksheet">
    <worksheetSource ref="A1:F201" sheet="student_exam_scores "/>
  </cacheSource>
  <cacheFields count="6">
    <cacheField name="Student_Id" numFmtId="0">
      <sharedItems/>
    </cacheField>
    <cacheField name="Hours_Studied" numFmtId="1">
      <sharedItems containsSemiMixedTypes="0" containsString="0" containsNumber="1" minValue="1" maxValue="12" count="96">
        <n v="8"/>
        <n v="1.1000000000000001"/>
        <n v="4"/>
        <n v="3.5"/>
        <n v="9.1"/>
        <n v="8.4"/>
        <n v="10.8"/>
        <n v="2"/>
        <n v="5.6"/>
        <n v="2.1"/>
        <n v="3.3"/>
        <n v="6.6"/>
        <n v="1"/>
        <n v="2.5"/>
        <n v="8.1"/>
        <n v="7"/>
        <n v="1.5"/>
        <n v="7.5"/>
        <n v="9.9"/>
        <n v="3.1"/>
        <n v="8.6999999999999993"/>
        <n v="4.7"/>
        <n v="2.2000000000000002"/>
        <n v="11.5"/>
        <n v="1.3"/>
        <n v="10.3"/>
        <n v="7.6"/>
        <n v="9"/>
        <n v="6.9"/>
        <n v="11.7"/>
        <n v="5.2"/>
        <n v="7.1"/>
        <n v="10.1"/>
        <n v="7.8"/>
        <n v="10.5"/>
        <n v="7.4"/>
        <n v="8.8000000000000007"/>
        <n v="3.4"/>
        <n v="4.2"/>
        <n v="3.6"/>
        <n v="1.8"/>
        <n v="4.0999999999999996"/>
        <n v="5"/>
        <n v="5.0999999999999996"/>
        <n v="1.9"/>
        <n v="3.9"/>
        <n v="11.3"/>
        <n v="7.7"/>
        <n v="3.2"/>
        <n v="3"/>
        <n v="11.9"/>
        <n v="8.5"/>
        <n v="9.5"/>
        <n v="4.5"/>
        <n v="11.4"/>
        <n v="10.6"/>
        <n v="8.1999999999999993"/>
        <n v="5.4"/>
        <n v="11.1"/>
        <n v="6"/>
        <n v="3.7"/>
        <n v="7.2"/>
        <n v="10.9"/>
        <n v="1.2"/>
        <n v="12"/>
        <n v="1.7"/>
        <n v="1.6"/>
        <n v="7.9"/>
        <n v="9.6999999999999993"/>
        <n v="6.8"/>
        <n v="8.9"/>
        <n v="5.8"/>
        <n v="6.5"/>
        <n v="11"/>
        <n v="4.3"/>
        <n v="9.4"/>
        <n v="9.6"/>
        <n v="2.2999999999999998"/>
        <n v="4.5999999999999996"/>
        <n v="2.7"/>
        <n v="11.2"/>
        <n v="10.7"/>
        <n v="4.4000000000000004"/>
        <n v="2.4"/>
        <n v="6.3"/>
        <n v="6.2"/>
        <n v="5.7"/>
        <n v="6.7"/>
        <n v="1.4"/>
        <n v="7.3"/>
        <n v="2.8"/>
        <n v="6.1"/>
        <n v="11.8"/>
        <n v="2.9"/>
        <n v="5.9"/>
        <n v="10.199999999999999"/>
      </sharedItems>
      <fieldGroup base="1">
        <rangePr startNum="1" endNum="12" groupInterval="2"/>
        <groupItems count="8">
          <s v="&lt;1"/>
          <s v="1-3"/>
          <s v="3-5"/>
          <s v="5-7"/>
          <s v="7-9"/>
          <s v="9-11"/>
          <s v="11-13"/>
          <s v="&gt;13"/>
        </groupItems>
      </fieldGroup>
    </cacheField>
    <cacheField name="Hours_Studied2" numFmtId="1">
      <sharedItems containsSemiMixedTypes="0" containsString="0" containsNumber="1" minValue="2" maxValue="13" count="96">
        <n v="9"/>
        <n v="2.1"/>
        <n v="5"/>
        <n v="4.5"/>
        <n v="10.1"/>
        <n v="9.4"/>
        <n v="11.8"/>
        <n v="3"/>
        <n v="6.6"/>
        <n v="3.1"/>
        <n v="4.3"/>
        <n v="7.6"/>
        <n v="2"/>
        <n v="3.5"/>
        <n v="9.1"/>
        <n v="8"/>
        <n v="2.5"/>
        <n v="8.5"/>
        <n v="10.9"/>
        <n v="4.0999999999999996"/>
        <n v="9.6999999999999993"/>
        <n v="5.7"/>
        <n v="3.2"/>
        <n v="12.5"/>
        <n v="2.2999999999999998"/>
        <n v="11.3"/>
        <n v="8.6"/>
        <n v="10"/>
        <n v="7.9"/>
        <n v="12.7"/>
        <n v="6.2"/>
        <n v="8.1"/>
        <n v="11.1"/>
        <n v="8.8000000000000007"/>
        <n v="11.5"/>
        <n v="8.4"/>
        <n v="9.8000000000000007"/>
        <n v="4.4000000000000004"/>
        <n v="5.2"/>
        <n v="4.5999999999999996"/>
        <n v="2.8"/>
        <n v="5.0999999999999996"/>
        <n v="6"/>
        <n v="6.1"/>
        <n v="2.9"/>
        <n v="4.9000000000000004"/>
        <n v="12.3"/>
        <n v="8.6999999999999993"/>
        <n v="4.2"/>
        <n v="4"/>
        <n v="12.9"/>
        <n v="9.5"/>
        <n v="10.5"/>
        <n v="5.5"/>
        <n v="12.4"/>
        <n v="11.6"/>
        <n v="9.1999999999999993"/>
        <n v="6.4"/>
        <n v="12.1"/>
        <n v="7"/>
        <n v="4.7"/>
        <n v="8.1999999999999993"/>
        <n v="11.9"/>
        <n v="2.2000000000000002"/>
        <n v="13"/>
        <n v="2.7"/>
        <n v="2.6"/>
        <n v="8.9"/>
        <n v="10.7"/>
        <n v="7.8"/>
        <n v="9.9"/>
        <n v="6.8"/>
        <n v="7.5"/>
        <n v="12"/>
        <n v="5.3"/>
        <n v="10.4"/>
        <n v="10.6"/>
        <n v="3.3"/>
        <n v="5.6"/>
        <n v="3.7"/>
        <n v="12.2"/>
        <n v="11.7"/>
        <n v="5.4"/>
        <n v="3.4"/>
        <n v="7.3"/>
        <n v="7.2"/>
        <n v="6.7"/>
        <n v="7.7"/>
        <n v="2.4"/>
        <n v="8.3000000000000007"/>
        <n v="3.8"/>
        <n v="7.1"/>
        <n v="12.8"/>
        <n v="3.9"/>
        <n v="6.9"/>
        <n v="11.2"/>
      </sharedItems>
      <fieldGroup base="2">
        <rangePr startNum="2" endNum="13" groupInterval="2"/>
        <groupItems count="8">
          <s v="&lt;2"/>
          <s v="2-4"/>
          <s v="4-6"/>
          <s v="6-8"/>
          <s v="8-10"/>
          <s v="10-12"/>
          <s v="12-14"/>
          <s v="&gt;14"/>
        </groupItems>
      </fieldGroup>
    </cacheField>
    <cacheField name="Attendance_Percent" numFmtId="1">
      <sharedItems containsSemiMixedTypes="0" containsString="0" containsNumber="1" minValue="50.3" maxValue="100" count="167">
        <n v="72.099999999999994"/>
        <n v="53.6"/>
        <n v="73.7"/>
        <n v="95.1"/>
        <n v="89.8"/>
        <n v="58.5"/>
        <n v="54.2"/>
        <n v="75.8"/>
        <n v="81.599999999999994"/>
        <n v="54.3"/>
        <n v="70.400000000000006"/>
        <n v="87.6"/>
        <n v="82.6"/>
        <n v="91.4"/>
        <n v="60"/>
        <n v="51.2"/>
        <n v="99.4"/>
        <n v="73.8"/>
        <n v="92.5"/>
        <n v="68.900000000000006"/>
        <n v="70.7"/>
        <n v="81.5"/>
        <n v="59.7"/>
        <n v="56.8"/>
        <n v="74.7"/>
        <n v="62.2"/>
        <n v="80.2"/>
        <n v="66.8"/>
        <n v="87.5"/>
        <n v="88.5"/>
        <n v="55.3"/>
        <n v="71.3"/>
        <n v="58.8"/>
        <n v="97.9"/>
        <n v="75.900000000000006"/>
        <n v="52.5"/>
        <n v="62.5"/>
        <n v="92.4"/>
        <n v="72.8"/>
        <n v="90.1"/>
        <n v="83.4"/>
        <n v="67.400000000000006"/>
        <n v="79.8"/>
        <n v="97.5"/>
        <n v="60.7"/>
        <n v="80.599999999999994"/>
        <n v="71.400000000000006"/>
        <n v="75.2"/>
        <n v="91.5"/>
        <n v="77.400000000000006"/>
        <n v="94.9"/>
        <n v="94.6"/>
        <n v="63"/>
        <n v="62.4"/>
        <n v="81.900000000000006"/>
        <n v="85.8"/>
        <n v="76.099999999999994"/>
        <n v="69"/>
        <n v="63.7"/>
        <n v="53.9"/>
        <n v="64.3"/>
        <n v="63.6"/>
        <n v="66"/>
        <n v="77"/>
        <n v="56.9"/>
        <n v="61.6"/>
        <n v="97.7"/>
        <n v="85.3"/>
        <n v="53.2"/>
        <n v="50.3"/>
        <n v="77.099999999999994"/>
        <n v="70.8"/>
        <n v="60.3"/>
        <n v="71"/>
        <n v="95.2"/>
        <n v="79.2"/>
        <n v="84.8"/>
        <n v="92.8"/>
        <n v="88.3"/>
        <n v="67.599999999999994"/>
        <n v="87.7"/>
        <n v="92.7"/>
        <n v="87.4"/>
        <n v="61"/>
        <n v="63.8"/>
        <n v="71.8"/>
        <n v="51.5"/>
        <n v="83.5"/>
        <n v="84"/>
        <n v="70.2"/>
        <n v="58.3"/>
        <n v="73.400000000000006"/>
        <n v="56.4"/>
        <n v="51.3"/>
        <n v="69.7"/>
        <n v="78.2"/>
        <n v="51.4"/>
        <n v="82.1"/>
        <n v="82.8"/>
        <n v="73.099999999999994"/>
        <n v="60.6"/>
        <n v="66.3"/>
        <n v="88.1"/>
        <n v="58.4"/>
        <n v="91.6"/>
        <n v="62.6"/>
        <n v="54.1"/>
        <n v="51"/>
        <n v="90.9"/>
        <n v="100"/>
        <n v="67.5"/>
        <n v="82.5"/>
        <n v="89.1"/>
        <n v="57.6"/>
        <n v="56.3"/>
        <n v="55.7"/>
        <n v="60.9"/>
        <n v="91.1"/>
        <n v="61.2"/>
        <n v="80.400000000000006"/>
        <n v="85"/>
        <n v="91"/>
        <n v="98.2"/>
        <n v="55.4"/>
        <n v="65.599999999999994"/>
        <n v="87.2"/>
        <n v="69.8"/>
        <n v="76.900000000000006"/>
        <n v="53.8"/>
        <n v="84.5"/>
        <n v="81.400000000000006"/>
        <n v="55.1"/>
        <n v="88.6"/>
        <n v="83.6"/>
        <n v="80"/>
        <n v="56.1"/>
        <n v="99.2"/>
        <n v="81.099999999999994"/>
        <n v="86"/>
        <n v="68.5"/>
        <n v="75.3"/>
        <n v="67.099999999999994"/>
        <n v="81.8"/>
        <n v="98"/>
        <n v="77.3"/>
        <n v="84.7"/>
        <n v="85.4"/>
        <n v="86.7"/>
        <n v="98.3"/>
        <n v="63.5"/>
        <n v="83.9"/>
        <n v="81.3"/>
        <n v="74.2"/>
        <n v="86.6"/>
        <n v="63.4"/>
        <n v="92.6"/>
        <n v="90.4"/>
        <n v="94.1"/>
        <n v="73.2"/>
        <n v="80.5"/>
        <n v="59.1"/>
        <n v="89.9"/>
        <n v="67"/>
        <n v="94"/>
        <n v="85.1"/>
        <n v="50.5"/>
        <n v="97.4"/>
      </sharedItems>
      <fieldGroup base="3">
        <rangePr startNum="50.3" endNum="100" groupInterval="10"/>
        <groupItems count="7">
          <s v="&lt;50.3"/>
          <s v="50.3-60.3"/>
          <s v="60.3-70.3"/>
          <s v="70.3-80.3"/>
          <s v="80.3-90.3"/>
          <s v="90.3-100.3"/>
          <s v="&gt;100.3"/>
        </groupItems>
      </fieldGroup>
    </cacheField>
    <cacheField name="Previous_Scores" numFmtId="1">
      <sharedItems containsSemiMixedTypes="0" containsString="0" containsNumber="1" containsInteger="1" minValue="40" maxValue="95"/>
    </cacheField>
    <cacheField name="Exam_Score" numFmtId="1">
      <sharedItems containsSemiMixedTypes="0" containsString="0" containsNumber="1" minValue="17.100000000000001" maxValue="51.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
  <r>
    <x v="0"/>
    <n v="39"/>
    <n v="0"/>
  </r>
  <r>
    <x v="1"/>
    <n v="60"/>
    <n v="0"/>
  </r>
  <r>
    <x v="2"/>
    <n v="101"/>
    <n v="0"/>
  </r>
</pivotCacheRecords>
</file>

<file path=xl/pivotCache/pivotCacheRecords2.xml><?xml version="1.0" encoding="utf-8"?>
<pivotCacheRecords xmlns="http://schemas.openxmlformats.org/spreadsheetml/2006/main" xmlns:r="http://schemas.openxmlformats.org/officeDocument/2006/relationships" count="200">
  <r>
    <s v="S001"/>
    <x v="0"/>
    <x v="0"/>
    <x v="0"/>
    <n v="45"/>
    <n v="30.2"/>
  </r>
  <r>
    <s v="S020"/>
    <x v="1"/>
    <x v="1"/>
    <x v="1"/>
    <n v="65"/>
    <n v="17.100000000000001"/>
  </r>
  <r>
    <s v="S003"/>
    <x v="2"/>
    <x v="2"/>
    <x v="2"/>
    <n v="86"/>
    <n v="35.799999999999997"/>
  </r>
  <r>
    <s v="S004"/>
    <x v="3"/>
    <x v="3"/>
    <x v="3"/>
    <n v="66"/>
    <n v="34"/>
  </r>
  <r>
    <s v="S005"/>
    <x v="4"/>
    <x v="4"/>
    <x v="4"/>
    <n v="71"/>
    <n v="40.299999999999997"/>
  </r>
  <r>
    <s v="S006"/>
    <x v="5"/>
    <x v="5"/>
    <x v="5"/>
    <n v="75"/>
    <n v="35.700000000000003"/>
  </r>
  <r>
    <s v="S007"/>
    <x v="6"/>
    <x v="6"/>
    <x v="6"/>
    <n v="88"/>
    <n v="37.9"/>
  </r>
  <r>
    <s v="S008"/>
    <x v="7"/>
    <x v="7"/>
    <x v="7"/>
    <n v="55"/>
    <n v="18.3"/>
  </r>
  <r>
    <s v="S009"/>
    <x v="8"/>
    <x v="8"/>
    <x v="8"/>
    <n v="84"/>
    <n v="34.700000000000003"/>
  </r>
  <r>
    <s v="S184"/>
    <x v="9"/>
    <x v="9"/>
    <x v="9"/>
    <n v="54"/>
    <n v="19.399999999999999"/>
  </r>
  <r>
    <s v="S071"/>
    <x v="10"/>
    <x v="10"/>
    <x v="10"/>
    <n v="40"/>
    <n v="20.8"/>
  </r>
  <r>
    <s v="S012"/>
    <x v="11"/>
    <x v="11"/>
    <x v="11"/>
    <n v="85"/>
    <n v="35.1"/>
  </r>
  <r>
    <s v="S125"/>
    <x v="12"/>
    <x v="12"/>
    <x v="12"/>
    <n v="54"/>
    <n v="21.2"/>
  </r>
  <r>
    <s v="S170"/>
    <x v="13"/>
    <x v="13"/>
    <x v="13"/>
    <n v="44"/>
    <n v="22.8"/>
  </r>
  <r>
    <s v="S015"/>
    <x v="14"/>
    <x v="14"/>
    <x v="14"/>
    <n v="90"/>
    <n v="41.1"/>
  </r>
  <r>
    <s v="S016"/>
    <x v="15"/>
    <x v="15"/>
    <x v="15"/>
    <n v="41"/>
    <n v="34.1"/>
  </r>
  <r>
    <s v="S042"/>
    <x v="16"/>
    <x v="16"/>
    <x v="16"/>
    <n v="47"/>
    <n v="23.1"/>
  </r>
  <r>
    <s v="S018"/>
    <x v="17"/>
    <x v="17"/>
    <x v="17"/>
    <n v="58"/>
    <n v="36.299999999999997"/>
  </r>
  <r>
    <s v="S019"/>
    <x v="18"/>
    <x v="18"/>
    <x v="18"/>
    <n v="54"/>
    <n v="35.6"/>
  </r>
  <r>
    <s v="S189"/>
    <x v="19"/>
    <x v="19"/>
    <x v="19"/>
    <n v="49"/>
    <n v="23.4"/>
  </r>
  <r>
    <s v="S021"/>
    <x v="18"/>
    <x v="18"/>
    <x v="20"/>
    <n v="84"/>
    <n v="46"/>
  </r>
  <r>
    <s v="S022"/>
    <x v="20"/>
    <x v="20"/>
    <x v="21"/>
    <n v="55"/>
    <n v="36.1"/>
  </r>
  <r>
    <s v="S023"/>
    <x v="21"/>
    <x v="21"/>
    <x v="22"/>
    <n v="59"/>
    <n v="29.6"/>
  </r>
  <r>
    <s v="S107"/>
    <x v="22"/>
    <x v="22"/>
    <x v="23"/>
    <n v="80"/>
    <n v="23.7"/>
  </r>
  <r>
    <s v="S025"/>
    <x v="23"/>
    <x v="23"/>
    <x v="24"/>
    <n v="77"/>
    <n v="39.200000000000003"/>
  </r>
  <r>
    <s v="S026"/>
    <x v="21"/>
    <x v="21"/>
    <x v="25"/>
    <n v="63"/>
    <n v="30"/>
  </r>
  <r>
    <s v="S090"/>
    <x v="16"/>
    <x v="16"/>
    <x v="26"/>
    <n v="58"/>
    <n v="23.9"/>
  </r>
  <r>
    <s v="S010"/>
    <x v="24"/>
    <x v="24"/>
    <x v="27"/>
    <n v="70"/>
    <n v="24.7"/>
  </r>
  <r>
    <s v="S029"/>
    <x v="25"/>
    <x v="25"/>
    <x v="28"/>
    <n v="73"/>
    <n v="37.200000000000003"/>
  </r>
  <r>
    <s v="S030"/>
    <x v="26"/>
    <x v="26"/>
    <x v="29"/>
    <n v="62"/>
    <n v="36.200000000000003"/>
  </r>
  <r>
    <s v="S031"/>
    <x v="18"/>
    <x v="18"/>
    <x v="30"/>
    <n v="67"/>
    <n v="34.5"/>
  </r>
  <r>
    <s v="S032"/>
    <x v="27"/>
    <x v="27"/>
    <x v="31"/>
    <n v="87"/>
    <n v="41.6"/>
  </r>
  <r>
    <s v="S033"/>
    <x v="28"/>
    <x v="28"/>
    <x v="32"/>
    <n v="75"/>
    <n v="38.1"/>
  </r>
  <r>
    <s v="S034"/>
    <x v="29"/>
    <x v="29"/>
    <x v="33"/>
    <n v="61"/>
    <n v="42.7"/>
  </r>
  <r>
    <s v="S035"/>
    <x v="30"/>
    <x v="30"/>
    <x v="34"/>
    <n v="62"/>
    <n v="32"/>
  </r>
  <r>
    <s v="S036"/>
    <x v="31"/>
    <x v="31"/>
    <x v="35"/>
    <n v="84"/>
    <n v="32"/>
  </r>
  <r>
    <s v="S037"/>
    <x v="32"/>
    <x v="32"/>
    <x v="36"/>
    <n v="69"/>
    <n v="44.7"/>
  </r>
  <r>
    <s v="S038"/>
    <x v="33"/>
    <x v="33"/>
    <x v="37"/>
    <n v="57"/>
    <n v="38.299999999999997"/>
  </r>
  <r>
    <s v="S039"/>
    <x v="34"/>
    <x v="34"/>
    <x v="38"/>
    <n v="59"/>
    <n v="39.799999999999997"/>
  </r>
  <r>
    <s v="S040"/>
    <x v="35"/>
    <x v="35"/>
    <x v="39"/>
    <n v="56"/>
    <n v="35"/>
  </r>
  <r>
    <s v="S041"/>
    <x v="36"/>
    <x v="36"/>
    <x v="40"/>
    <n v="54"/>
    <n v="34.200000000000003"/>
  </r>
  <r>
    <s v="S160"/>
    <x v="37"/>
    <x v="37"/>
    <x v="41"/>
    <n v="70"/>
    <n v="24.7"/>
  </r>
  <r>
    <s v="S043"/>
    <x v="3"/>
    <x v="3"/>
    <x v="42"/>
    <n v="86"/>
    <n v="37.200000000000003"/>
  </r>
  <r>
    <s v="S044"/>
    <x v="38"/>
    <x v="38"/>
    <x v="43"/>
    <n v="52"/>
    <n v="30.3"/>
  </r>
  <r>
    <s v="S002"/>
    <x v="24"/>
    <x v="24"/>
    <x v="44"/>
    <n v="55"/>
    <n v="25"/>
  </r>
  <r>
    <s v="S046"/>
    <x v="39"/>
    <x v="39"/>
    <x v="45"/>
    <n v="47"/>
    <n v="31.8"/>
  </r>
  <r>
    <s v="S161"/>
    <x v="40"/>
    <x v="40"/>
    <x v="46"/>
    <n v="58"/>
    <n v="25.2"/>
  </r>
  <r>
    <s v="S048"/>
    <x v="41"/>
    <x v="41"/>
    <x v="47"/>
    <n v="74"/>
    <n v="31.1"/>
  </r>
  <r>
    <s v="S049"/>
    <x v="0"/>
    <x v="0"/>
    <x v="48"/>
    <n v="88"/>
    <n v="41.2"/>
  </r>
  <r>
    <s v="S050"/>
    <x v="42"/>
    <x v="42"/>
    <x v="49"/>
    <n v="84"/>
    <n v="30.6"/>
  </r>
  <r>
    <s v="S051"/>
    <x v="43"/>
    <x v="43"/>
    <x v="50"/>
    <n v="51"/>
    <n v="28.8"/>
  </r>
  <r>
    <s v="S045"/>
    <x v="44"/>
    <x v="44"/>
    <x v="51"/>
    <n v="60"/>
    <n v="26.1"/>
  </r>
  <r>
    <s v="S053"/>
    <x v="45"/>
    <x v="45"/>
    <x v="2"/>
    <n v="53"/>
    <n v="26.9"/>
  </r>
  <r>
    <s v="S054"/>
    <x v="46"/>
    <x v="46"/>
    <x v="52"/>
    <n v="87"/>
    <n v="46.4"/>
  </r>
  <r>
    <s v="S055"/>
    <x v="14"/>
    <x v="14"/>
    <x v="53"/>
    <n v="70"/>
    <n v="34.4"/>
  </r>
  <r>
    <s v="S056"/>
    <x v="47"/>
    <x v="47"/>
    <x v="54"/>
    <n v="57"/>
    <n v="37"/>
  </r>
  <r>
    <s v="S149"/>
    <x v="48"/>
    <x v="48"/>
    <x v="55"/>
    <n v="50"/>
    <n v="26.4"/>
  </r>
  <r>
    <s v="S058"/>
    <x v="27"/>
    <x v="27"/>
    <x v="56"/>
    <n v="77"/>
    <n v="38.200000000000003"/>
  </r>
  <r>
    <s v="S114"/>
    <x v="49"/>
    <x v="49"/>
    <x v="57"/>
    <n v="59"/>
    <n v="26.4"/>
  </r>
  <r>
    <s v="S060"/>
    <x v="30"/>
    <x v="30"/>
    <x v="58"/>
    <n v="73"/>
    <n v="29.2"/>
  </r>
  <r>
    <s v="S061"/>
    <x v="50"/>
    <x v="50"/>
    <x v="59"/>
    <n v="78"/>
    <n v="48.6"/>
  </r>
  <r>
    <s v="S062"/>
    <x v="0"/>
    <x v="0"/>
    <x v="60"/>
    <n v="58"/>
    <n v="36.1"/>
  </r>
  <r>
    <s v="S063"/>
    <x v="31"/>
    <x v="31"/>
    <x v="61"/>
    <n v="46"/>
    <n v="27.1"/>
  </r>
  <r>
    <s v="S064"/>
    <x v="51"/>
    <x v="51"/>
    <x v="62"/>
    <n v="93"/>
    <n v="36.1"/>
  </r>
  <r>
    <s v="S065"/>
    <x v="25"/>
    <x v="25"/>
    <x v="63"/>
    <n v="52"/>
    <n v="39.5"/>
  </r>
  <r>
    <s v="S066"/>
    <x v="52"/>
    <x v="52"/>
    <x v="64"/>
    <n v="58"/>
    <n v="36.700000000000003"/>
  </r>
  <r>
    <s v="S067"/>
    <x v="3"/>
    <x v="3"/>
    <x v="65"/>
    <n v="54"/>
    <n v="21.7"/>
  </r>
  <r>
    <s v="S086"/>
    <x v="37"/>
    <x v="37"/>
    <x v="66"/>
    <n v="46"/>
    <n v="26.5"/>
  </r>
  <r>
    <s v="S069"/>
    <x v="53"/>
    <x v="53"/>
    <x v="67"/>
    <n v="51"/>
    <n v="33.5"/>
  </r>
  <r>
    <s v="S070"/>
    <x v="45"/>
    <x v="45"/>
    <x v="68"/>
    <n v="59"/>
    <n v="23.9"/>
  </r>
  <r>
    <s v="S028"/>
    <x v="9"/>
    <x v="9"/>
    <x v="69"/>
    <n v="75"/>
    <n v="26.5"/>
  </r>
  <r>
    <s v="S072"/>
    <x v="54"/>
    <x v="54"/>
    <x v="70"/>
    <n v="85"/>
    <n v="47.9"/>
  </r>
  <r>
    <s v="S073"/>
    <x v="55"/>
    <x v="55"/>
    <x v="71"/>
    <n v="74"/>
    <n v="41.9"/>
  </r>
  <r>
    <s v="S074"/>
    <x v="53"/>
    <x v="53"/>
    <x v="72"/>
    <n v="48"/>
    <n v="29.5"/>
  </r>
  <r>
    <s v="S075"/>
    <x v="56"/>
    <x v="56"/>
    <x v="73"/>
    <n v="57"/>
    <n v="33.5"/>
  </r>
  <r>
    <s v="S076"/>
    <x v="57"/>
    <x v="57"/>
    <x v="74"/>
    <n v="42"/>
    <n v="26.3"/>
  </r>
  <r>
    <s v="S077"/>
    <x v="58"/>
    <x v="58"/>
    <x v="75"/>
    <n v="43"/>
    <n v="39.9"/>
  </r>
  <r>
    <s v="S078"/>
    <x v="59"/>
    <x v="59"/>
    <x v="76"/>
    <n v="75"/>
    <n v="40.299999999999997"/>
  </r>
  <r>
    <s v="S079"/>
    <x v="45"/>
    <x v="45"/>
    <x v="77"/>
    <n v="58"/>
    <n v="26.5"/>
  </r>
  <r>
    <s v="S080"/>
    <x v="60"/>
    <x v="60"/>
    <x v="78"/>
    <n v="84"/>
    <n v="34.200000000000003"/>
  </r>
  <r>
    <s v="S081"/>
    <x v="61"/>
    <x v="61"/>
    <x v="57"/>
    <n v="48"/>
    <n v="30.8"/>
  </r>
  <r>
    <s v="S082"/>
    <x v="45"/>
    <x v="45"/>
    <x v="69"/>
    <n v="80"/>
    <n v="32.4"/>
  </r>
  <r>
    <s v="S083"/>
    <x v="35"/>
    <x v="35"/>
    <x v="79"/>
    <n v="95"/>
    <n v="39.799999999999997"/>
  </r>
  <r>
    <s v="S084"/>
    <x v="62"/>
    <x v="62"/>
    <x v="80"/>
    <n v="88"/>
    <n v="48.9"/>
  </r>
  <r>
    <s v="S085"/>
    <x v="57"/>
    <x v="57"/>
    <x v="81"/>
    <n v="71"/>
    <n v="38"/>
  </r>
  <r>
    <s v="S127"/>
    <x v="63"/>
    <x v="63"/>
    <x v="43"/>
    <n v="73"/>
    <n v="26.8"/>
  </r>
  <r>
    <s v="S087"/>
    <x v="64"/>
    <x v="64"/>
    <x v="73"/>
    <n v="95"/>
    <n v="51.3"/>
  </r>
  <r>
    <s v="S088"/>
    <x v="11"/>
    <x v="11"/>
    <x v="82"/>
    <n v="40"/>
    <n v="28.6"/>
  </r>
  <r>
    <s v="S091"/>
    <x v="22"/>
    <x v="22"/>
    <x v="83"/>
    <n v="70"/>
    <n v="27.3"/>
  </r>
  <r>
    <s v="S095"/>
    <x v="65"/>
    <x v="65"/>
    <x v="27"/>
    <n v="51"/>
    <n v="28.1"/>
  </r>
  <r>
    <s v="S198"/>
    <x v="66"/>
    <x v="66"/>
    <x v="84"/>
    <n v="76"/>
    <n v="28.2"/>
  </r>
  <r>
    <s v="S092"/>
    <x v="67"/>
    <x v="67"/>
    <x v="83"/>
    <n v="70"/>
    <n v="34"/>
  </r>
  <r>
    <s v="S093"/>
    <x v="68"/>
    <x v="68"/>
    <x v="85"/>
    <n v="68"/>
    <n v="37.5"/>
  </r>
  <r>
    <s v="S094"/>
    <x v="8"/>
    <x v="8"/>
    <x v="86"/>
    <n v="61"/>
    <n v="29.1"/>
  </r>
  <r>
    <s v="S132"/>
    <x v="66"/>
    <x v="66"/>
    <x v="87"/>
    <n v="95"/>
    <n v="28.8"/>
  </r>
  <r>
    <s v="S096"/>
    <x v="30"/>
    <x v="30"/>
    <x v="88"/>
    <n v="43"/>
    <n v="28.7"/>
  </r>
  <r>
    <s v="S097"/>
    <x v="64"/>
    <x v="64"/>
    <x v="89"/>
    <n v="56"/>
    <n v="36.9"/>
  </r>
  <r>
    <s v="S098"/>
    <x v="69"/>
    <x v="69"/>
    <x v="90"/>
    <n v="95"/>
    <n v="36"/>
  </r>
  <r>
    <s v="S099"/>
    <x v="29"/>
    <x v="29"/>
    <x v="91"/>
    <n v="70"/>
    <n v="39.9"/>
  </r>
  <r>
    <s v="S100"/>
    <x v="34"/>
    <x v="34"/>
    <x v="92"/>
    <n v="47"/>
    <n v="37.1"/>
  </r>
  <r>
    <s v="S017"/>
    <x v="37"/>
    <x v="37"/>
    <x v="25"/>
    <n v="45"/>
    <n v="28.9"/>
  </r>
  <r>
    <s v="S102"/>
    <x v="70"/>
    <x v="70"/>
    <x v="93"/>
    <n v="44"/>
    <n v="31.3"/>
  </r>
  <r>
    <s v="S103"/>
    <x v="51"/>
    <x v="51"/>
    <x v="94"/>
    <n v="65"/>
    <n v="35.700000000000003"/>
  </r>
  <r>
    <s v="S104"/>
    <x v="28"/>
    <x v="28"/>
    <x v="95"/>
    <n v="71"/>
    <n v="32.6"/>
  </r>
  <r>
    <s v="S105"/>
    <x v="45"/>
    <x v="45"/>
    <x v="96"/>
    <n v="44"/>
    <n v="24.1"/>
  </r>
  <r>
    <s v="S106"/>
    <x v="14"/>
    <x v="14"/>
    <x v="97"/>
    <n v="76"/>
    <n v="38.200000000000003"/>
  </r>
  <r>
    <s v="S027"/>
    <x v="7"/>
    <x v="7"/>
    <x v="98"/>
    <n v="70"/>
    <n v="29"/>
  </r>
  <r>
    <s v="S108"/>
    <x v="71"/>
    <x v="71"/>
    <x v="99"/>
    <n v="83"/>
    <n v="39.200000000000003"/>
  </r>
  <r>
    <s v="S109"/>
    <x v="59"/>
    <x v="59"/>
    <x v="35"/>
    <n v="43"/>
    <n v="23.2"/>
  </r>
  <r>
    <s v="S110"/>
    <x v="23"/>
    <x v="23"/>
    <x v="57"/>
    <n v="49"/>
    <n v="42.2"/>
  </r>
  <r>
    <s v="S111"/>
    <x v="55"/>
    <x v="55"/>
    <x v="100"/>
    <n v="49"/>
    <n v="39.6"/>
  </r>
  <r>
    <s v="S112"/>
    <x v="45"/>
    <x v="45"/>
    <x v="101"/>
    <n v="91"/>
    <n v="34.799999999999997"/>
  </r>
  <r>
    <s v="S113"/>
    <x v="72"/>
    <x v="72"/>
    <x v="102"/>
    <n v="76"/>
    <n v="34.6"/>
  </r>
  <r>
    <s v="S137"/>
    <x v="40"/>
    <x v="40"/>
    <x v="103"/>
    <n v="79"/>
    <n v="29"/>
  </r>
  <r>
    <s v="S115"/>
    <x v="73"/>
    <x v="73"/>
    <x v="11"/>
    <n v="45"/>
    <n v="43.1"/>
  </r>
  <r>
    <s v="S116"/>
    <x v="55"/>
    <x v="55"/>
    <x v="104"/>
    <n v="55"/>
    <n v="46.4"/>
  </r>
  <r>
    <s v="S117"/>
    <x v="74"/>
    <x v="74"/>
    <x v="105"/>
    <n v="47"/>
    <n v="25.2"/>
  </r>
  <r>
    <s v="S118"/>
    <x v="0"/>
    <x v="0"/>
    <x v="106"/>
    <n v="75"/>
    <n v="31.3"/>
  </r>
  <r>
    <s v="S119"/>
    <x v="47"/>
    <x v="47"/>
    <x v="107"/>
    <n v="88"/>
    <n v="35.799999999999997"/>
  </r>
  <r>
    <s v="S011"/>
    <x v="37"/>
    <x v="37"/>
    <x v="108"/>
    <n v="81"/>
    <n v="29.3"/>
  </r>
  <r>
    <s v="S121"/>
    <x v="75"/>
    <x v="75"/>
    <x v="109"/>
    <n v="78"/>
    <n v="47.9"/>
  </r>
  <r>
    <s v="S122"/>
    <x v="28"/>
    <x v="28"/>
    <x v="110"/>
    <n v="78"/>
    <n v="40.9"/>
  </r>
  <r>
    <s v="S123"/>
    <x v="76"/>
    <x v="76"/>
    <x v="111"/>
    <n v="90"/>
    <n v="44.1"/>
  </r>
  <r>
    <s v="S124"/>
    <x v="69"/>
    <x v="69"/>
    <x v="112"/>
    <n v="79"/>
    <n v="39.299999999999997"/>
  </r>
  <r>
    <s v="S155"/>
    <x v="77"/>
    <x v="77"/>
    <x v="18"/>
    <n v="40"/>
    <n v="29.7"/>
  </r>
  <r>
    <s v="S126"/>
    <x v="78"/>
    <x v="78"/>
    <x v="80"/>
    <n v="89"/>
    <n v="38.6"/>
  </r>
  <r>
    <s v="S120"/>
    <x v="79"/>
    <x v="79"/>
    <x v="63"/>
    <n v="66"/>
    <n v="29.8"/>
  </r>
  <r>
    <s v="S128"/>
    <x v="80"/>
    <x v="80"/>
    <x v="14"/>
    <n v="64"/>
    <n v="42.7"/>
  </r>
  <r>
    <s v="S129"/>
    <x v="81"/>
    <x v="81"/>
    <x v="107"/>
    <n v="68"/>
    <n v="36.1"/>
  </r>
  <r>
    <s v="S130"/>
    <x v="32"/>
    <x v="32"/>
    <x v="113"/>
    <n v="68"/>
    <n v="39.200000000000003"/>
  </r>
  <r>
    <s v="S131"/>
    <x v="82"/>
    <x v="82"/>
    <x v="114"/>
    <n v="59"/>
    <n v="32.9"/>
  </r>
  <r>
    <s v="S140"/>
    <x v="83"/>
    <x v="83"/>
    <x v="115"/>
    <n v="87"/>
    <n v="29.9"/>
  </r>
  <r>
    <s v="S133"/>
    <x v="81"/>
    <x v="81"/>
    <x v="95"/>
    <n v="77"/>
    <n v="45.7"/>
  </r>
  <r>
    <s v="S134"/>
    <x v="54"/>
    <x v="54"/>
    <x v="116"/>
    <n v="67"/>
    <n v="40.799999999999997"/>
  </r>
  <r>
    <s v="S166"/>
    <x v="40"/>
    <x v="40"/>
    <x v="117"/>
    <n v="58"/>
    <n v="30.1"/>
  </r>
  <r>
    <s v="S136"/>
    <x v="84"/>
    <x v="84"/>
    <x v="78"/>
    <n v="76"/>
    <n v="41.1"/>
  </r>
  <r>
    <s v="S014"/>
    <x v="48"/>
    <x v="48"/>
    <x v="118"/>
    <n v="68"/>
    <n v="30.2"/>
  </r>
  <r>
    <s v="S138"/>
    <x v="75"/>
    <x v="75"/>
    <x v="119"/>
    <n v="43"/>
    <n v="35.1"/>
  </r>
  <r>
    <s v="S139"/>
    <x v="75"/>
    <x v="75"/>
    <x v="82"/>
    <n v="79"/>
    <n v="39.9"/>
  </r>
  <r>
    <s v="S135"/>
    <x v="44"/>
    <x v="44"/>
    <x v="120"/>
    <n v="59"/>
    <n v="30.6"/>
  </r>
  <r>
    <s v="S141"/>
    <x v="85"/>
    <x v="85"/>
    <x v="121"/>
    <n v="46"/>
    <n v="35"/>
  </r>
  <r>
    <s v="S142"/>
    <x v="15"/>
    <x v="15"/>
    <x v="122"/>
    <n v="88"/>
    <n v="43.3"/>
  </r>
  <r>
    <s v="S143"/>
    <x v="45"/>
    <x v="45"/>
    <x v="123"/>
    <n v="53"/>
    <n v="19"/>
  </r>
  <r>
    <s v="S144"/>
    <x v="55"/>
    <x v="55"/>
    <x v="93"/>
    <n v="80"/>
    <n v="35.1"/>
  </r>
  <r>
    <s v="S145"/>
    <x v="86"/>
    <x v="86"/>
    <x v="124"/>
    <n v="53"/>
    <n v="29.9"/>
  </r>
  <r>
    <s v="S052"/>
    <x v="10"/>
    <x v="10"/>
    <x v="125"/>
    <n v="52"/>
    <n v="30.7"/>
  </r>
  <r>
    <s v="S147"/>
    <x v="28"/>
    <x v="28"/>
    <x v="33"/>
    <n v="82"/>
    <n v="45.8"/>
  </r>
  <r>
    <s v="S148"/>
    <x v="27"/>
    <x v="27"/>
    <x v="126"/>
    <n v="45"/>
    <n v="35.5"/>
  </r>
  <r>
    <s v="S177"/>
    <x v="9"/>
    <x v="9"/>
    <x v="127"/>
    <n v="77"/>
    <n v="30.7"/>
  </r>
  <r>
    <s v="S150"/>
    <x v="82"/>
    <x v="82"/>
    <x v="128"/>
    <n v="55"/>
    <n v="21.9"/>
  </r>
  <r>
    <s v="S151"/>
    <x v="50"/>
    <x v="50"/>
    <x v="129"/>
    <n v="51"/>
    <n v="44.1"/>
  </r>
  <r>
    <s v="S152"/>
    <x v="14"/>
    <x v="14"/>
    <x v="130"/>
    <n v="75"/>
    <n v="42.3"/>
  </r>
  <r>
    <s v="S153"/>
    <x v="71"/>
    <x v="71"/>
    <x v="131"/>
    <n v="44"/>
    <n v="27.7"/>
  </r>
  <r>
    <s v="S154"/>
    <x v="87"/>
    <x v="87"/>
    <x v="132"/>
    <n v="50"/>
    <n v="33.4"/>
  </r>
  <r>
    <s v="S013"/>
    <x v="24"/>
    <x v="24"/>
    <x v="133"/>
    <n v="71"/>
    <n v="31.2"/>
  </r>
  <r>
    <s v="S156"/>
    <x v="3"/>
    <x v="3"/>
    <x v="134"/>
    <n v="66"/>
    <n v="23.6"/>
  </r>
  <r>
    <s v="S157"/>
    <x v="21"/>
    <x v="21"/>
    <x v="135"/>
    <n v="68"/>
    <n v="33.6"/>
  </r>
  <r>
    <s v="S158"/>
    <x v="17"/>
    <x v="17"/>
    <x v="136"/>
    <n v="84"/>
    <n v="37.9"/>
  </r>
  <r>
    <s v="S159"/>
    <x v="3"/>
    <x v="3"/>
    <x v="112"/>
    <n v="78"/>
    <n v="29.5"/>
  </r>
  <r>
    <s v="S101"/>
    <x v="1"/>
    <x v="1"/>
    <x v="137"/>
    <n v="92"/>
    <n v="31.4"/>
  </r>
  <r>
    <s v="S047"/>
    <x v="9"/>
    <x v="9"/>
    <x v="138"/>
    <n v="87"/>
    <n v="31.6"/>
  </r>
  <r>
    <s v="S162"/>
    <x v="67"/>
    <x v="67"/>
    <x v="139"/>
    <n v="42"/>
    <n v="31.4"/>
  </r>
  <r>
    <s v="S163"/>
    <x v="3"/>
    <x v="3"/>
    <x v="140"/>
    <n v="54"/>
    <n v="30"/>
  </r>
  <r>
    <s v="S164"/>
    <x v="73"/>
    <x v="73"/>
    <x v="141"/>
    <n v="58"/>
    <n v="35.799999999999997"/>
  </r>
  <r>
    <s v="S165"/>
    <x v="34"/>
    <x v="34"/>
    <x v="18"/>
    <n v="85"/>
    <n v="40.6"/>
  </r>
  <r>
    <s v="S169"/>
    <x v="37"/>
    <x v="37"/>
    <x v="142"/>
    <n v="69"/>
    <n v="32.1"/>
  </r>
  <r>
    <s v="S167"/>
    <x v="39"/>
    <x v="39"/>
    <x v="30"/>
    <n v="84"/>
    <n v="30.3"/>
  </r>
  <r>
    <s v="S168"/>
    <x v="5"/>
    <x v="5"/>
    <x v="143"/>
    <n v="95"/>
    <n v="42"/>
  </r>
  <r>
    <s v="S089"/>
    <x v="7"/>
    <x v="7"/>
    <x v="144"/>
    <n v="76"/>
    <n v="32.1"/>
  </r>
  <r>
    <s v="S068"/>
    <x v="88"/>
    <x v="88"/>
    <x v="145"/>
    <n v="63"/>
    <n v="32.200000000000003"/>
  </r>
  <r>
    <s v="S171"/>
    <x v="46"/>
    <x v="46"/>
    <x v="146"/>
    <n v="83"/>
    <n v="45.3"/>
  </r>
  <r>
    <s v="S172"/>
    <x v="89"/>
    <x v="89"/>
    <x v="85"/>
    <n v="54"/>
    <n v="31"/>
  </r>
  <r>
    <s v="S173"/>
    <x v="85"/>
    <x v="85"/>
    <x v="147"/>
    <n v="56"/>
    <n v="31"/>
  </r>
  <r>
    <s v="S174"/>
    <x v="76"/>
    <x v="76"/>
    <x v="148"/>
    <n v="90"/>
    <n v="40.9"/>
  </r>
  <r>
    <s v="S175"/>
    <x v="18"/>
    <x v="18"/>
    <x v="149"/>
    <n v="90"/>
    <n v="44.8"/>
  </r>
  <r>
    <s v="S146"/>
    <x v="10"/>
    <x v="10"/>
    <x v="150"/>
    <n v="56"/>
    <n v="33"/>
  </r>
  <r>
    <s v="S059"/>
    <x v="90"/>
    <x v="90"/>
    <x v="151"/>
    <n v="88"/>
    <n v="33"/>
  </r>
  <r>
    <s v="S178"/>
    <x v="86"/>
    <x v="86"/>
    <x v="152"/>
    <n v="82"/>
    <n v="31"/>
  </r>
  <r>
    <s v="S179"/>
    <x v="86"/>
    <x v="86"/>
    <x v="85"/>
    <n v="91"/>
    <n v="35"/>
  </r>
  <r>
    <s v="S180"/>
    <x v="91"/>
    <x v="91"/>
    <x v="153"/>
    <n v="52"/>
    <n v="31.4"/>
  </r>
  <r>
    <s v="S181"/>
    <x v="27"/>
    <x v="27"/>
    <x v="154"/>
    <n v="67"/>
    <n v="38.4"/>
  </r>
  <r>
    <s v="S182"/>
    <x v="5"/>
    <x v="5"/>
    <x v="155"/>
    <n v="47"/>
    <n v="36.1"/>
  </r>
  <r>
    <s v="S183"/>
    <x v="92"/>
    <x v="92"/>
    <x v="48"/>
    <n v="74"/>
    <n v="44.1"/>
  </r>
  <r>
    <s v="S176"/>
    <x v="19"/>
    <x v="19"/>
    <x v="156"/>
    <n v="80"/>
    <n v="34.4"/>
  </r>
  <r>
    <s v="S185"/>
    <x v="57"/>
    <x v="57"/>
    <x v="157"/>
    <n v="81"/>
    <n v="39.4"/>
  </r>
  <r>
    <s v="S186"/>
    <x v="21"/>
    <x v="21"/>
    <x v="25"/>
    <n v="49"/>
    <n v="22.9"/>
  </r>
  <r>
    <s v="S187"/>
    <x v="34"/>
    <x v="34"/>
    <x v="158"/>
    <n v="57"/>
    <n v="36.200000000000003"/>
  </r>
  <r>
    <s v="S188"/>
    <x v="60"/>
    <x v="60"/>
    <x v="159"/>
    <n v="92"/>
    <n v="33.4"/>
  </r>
  <r>
    <s v="S057"/>
    <x v="93"/>
    <x v="93"/>
    <x v="78"/>
    <n v="86"/>
    <n v="35.200000000000003"/>
  </r>
  <r>
    <s v="S190"/>
    <x v="94"/>
    <x v="94"/>
    <x v="96"/>
    <n v="44"/>
    <n v="28"/>
  </r>
  <r>
    <s v="S191"/>
    <x v="8"/>
    <x v="8"/>
    <x v="18"/>
    <n v="43"/>
    <n v="32.200000000000003"/>
  </r>
  <r>
    <s v="S192"/>
    <x v="41"/>
    <x v="41"/>
    <x v="160"/>
    <n v="50"/>
    <n v="30.7"/>
  </r>
  <r>
    <s v="S193"/>
    <x v="60"/>
    <x v="60"/>
    <x v="100"/>
    <n v="90"/>
    <n v="28.8"/>
  </r>
  <r>
    <s v="S194"/>
    <x v="80"/>
    <x v="80"/>
    <x v="161"/>
    <n v="59"/>
    <n v="46.7"/>
  </r>
  <r>
    <s v="S195"/>
    <x v="94"/>
    <x v="94"/>
    <x v="162"/>
    <n v="78"/>
    <n v="33.799999999999997"/>
  </r>
  <r>
    <s v="S196"/>
    <x v="34"/>
    <x v="34"/>
    <x v="163"/>
    <n v="87"/>
    <n v="42.7"/>
  </r>
  <r>
    <s v="S197"/>
    <x v="31"/>
    <x v="31"/>
    <x v="164"/>
    <n v="92"/>
    <n v="40.4"/>
  </r>
  <r>
    <s v="S024"/>
    <x v="79"/>
    <x v="79"/>
    <x v="76"/>
    <n v="82"/>
    <n v="35.9"/>
  </r>
  <r>
    <s v="S199"/>
    <x v="64"/>
    <x v="64"/>
    <x v="165"/>
    <n v="58"/>
    <n v="42"/>
  </r>
  <r>
    <s v="S200"/>
    <x v="95"/>
    <x v="95"/>
    <x v="166"/>
    <n v="68"/>
    <n v="37.79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L2:S9" firstHeaderRow="1" firstDataRow="2" firstDataCol="1"/>
  <pivotFields count="6">
    <pivotField showAll="0"/>
    <pivotField axis="axisCol" dataField="1" numFmtId="164" showAll="0">
      <items count="9">
        <item x="0"/>
        <item x="1"/>
        <item x="2"/>
        <item x="3"/>
        <item x="4"/>
        <item x="5"/>
        <item x="6"/>
        <item x="7"/>
        <item t="default"/>
      </items>
    </pivotField>
    <pivotField numFmtId="164" showAll="0"/>
    <pivotField axis="axisRow" numFmtId="164" showAll="0" sortType="descending">
      <items count="8">
        <item x="5"/>
        <item x="4"/>
        <item x="3"/>
        <item x="2"/>
        <item x="1"/>
        <item x="6"/>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s>
  <rowFields count="1">
    <field x="3"/>
  </rowFields>
  <rowItems count="6">
    <i>
      <x v="1"/>
    </i>
    <i>
      <x v="3"/>
    </i>
    <i>
      <x v="4"/>
    </i>
    <i>
      <x v="2"/>
    </i>
    <i>
      <x/>
    </i>
    <i t="grand">
      <x/>
    </i>
  </rowItems>
  <colFields count="1">
    <field x="1"/>
  </colFields>
  <colItems count="7">
    <i>
      <x v="1"/>
    </i>
    <i>
      <x v="2"/>
    </i>
    <i>
      <x v="3"/>
    </i>
    <i>
      <x v="4"/>
    </i>
    <i>
      <x v="5"/>
    </i>
    <i>
      <x v="6"/>
    </i>
    <i t="grand">
      <x/>
    </i>
  </colItems>
  <dataFields count="1">
    <dataField name="Count of Hours_Studied" fld="1" subtotal="count" baseField="3" baseItem="1"/>
  </dataFields>
  <formats count="4">
    <format dxfId="15">
      <pivotArea type="all" dataOnly="0" outline="0" fieldPosition="0"/>
    </format>
    <format dxfId="14">
      <pivotArea outline="0" collapsedLevelsAreSubtotals="1" fieldPosition="0"/>
    </format>
    <format dxfId="13">
      <pivotArea dataOnly="0" labelOnly="1" grandRow="1" outline="0" fieldPosition="0"/>
    </format>
    <format dxfId="12">
      <pivotArea dataOnly="0" labelOnly="1" grandCol="1" outline="0" fieldPosition="0"/>
    </format>
  </formats>
  <chartFormats count="1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6"/>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H10" firstHeaderRow="1" firstDataRow="2" firstDataCol="1"/>
  <pivotFields count="6">
    <pivotField showAll="0"/>
    <pivotField axis="axisCol" dataField="1" numFmtId="164" showAll="0">
      <items count="9">
        <item x="0"/>
        <item x="1"/>
        <item x="2"/>
        <item x="3"/>
        <item x="4"/>
        <item x="5"/>
        <item x="6"/>
        <item x="7"/>
        <item t="default"/>
      </items>
    </pivotField>
    <pivotField numFmtId="164" showAll="0"/>
    <pivotField axis="axisRow" numFmtId="164" showAll="0" sortType="descending">
      <items count="8">
        <item x="5"/>
        <item x="4"/>
        <item x="3"/>
        <item x="2"/>
        <item x="1"/>
        <item x="6"/>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s>
  <rowFields count="1">
    <field x="3"/>
  </rowFields>
  <rowItems count="6">
    <i>
      <x v="1"/>
    </i>
    <i>
      <x v="3"/>
    </i>
    <i>
      <x v="4"/>
    </i>
    <i>
      <x v="2"/>
    </i>
    <i>
      <x/>
    </i>
    <i t="grand">
      <x/>
    </i>
  </rowItems>
  <colFields count="1">
    <field x="1"/>
  </colFields>
  <colItems count="7">
    <i>
      <x v="1"/>
    </i>
    <i>
      <x v="2"/>
    </i>
    <i>
      <x v="3"/>
    </i>
    <i>
      <x v="4"/>
    </i>
    <i>
      <x v="5"/>
    </i>
    <i>
      <x v="6"/>
    </i>
    <i t="grand">
      <x/>
    </i>
  </colItems>
  <dataFields count="1">
    <dataField name="Sum of Hours_Studied" fld="1" baseField="3" baseItem="4"/>
  </dataFields>
  <formats count="4">
    <format dxfId="19">
      <pivotArea type="all" dataOnly="0" outline="0" fieldPosition="0"/>
    </format>
    <format dxfId="18">
      <pivotArea outline="0" collapsedLevelsAreSubtotals="1" fieldPosition="0"/>
    </format>
    <format dxfId="17">
      <pivotArea dataOnly="0" labelOnly="1" grandRow="1" outline="0" fieldPosition="0"/>
    </format>
    <format dxfId="16">
      <pivotArea dataOnly="0" labelOnly="1" grandCol="1" outline="0" fieldPosition="0"/>
    </format>
  </formats>
  <chartFormats count="1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6"/>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4:C11" firstHeaderRow="0" firstDataRow="1" firstDataCol="1"/>
  <pivotFields count="6">
    <pivotField showAll="0" measureFilter="1" sortType="descending">
      <autoSortScope>
        <pivotArea dataOnly="0" outline="0" fieldPosition="0">
          <references count="1">
            <reference field="4294967294" count="1" selected="0">
              <x v="0"/>
            </reference>
          </references>
        </pivotArea>
      </autoSortScope>
    </pivotField>
    <pivotField axis="axisRow" numFmtId="164" showAll="0" sortType="descending">
      <items count="9">
        <item x="0"/>
        <item x="1"/>
        <item x="2"/>
        <item x="3"/>
        <item x="4"/>
        <item x="5"/>
        <item x="6"/>
        <item x="7"/>
        <item t="default"/>
      </items>
      <autoSortScope>
        <pivotArea dataOnly="0" outline="0" fieldPosition="0">
          <references count="1">
            <reference field="4294967294" count="1" selected="0">
              <x v="1"/>
            </reference>
          </references>
        </pivotArea>
      </autoSortScope>
    </pivotField>
    <pivotField numFmtId="164" showAll="0"/>
    <pivotField numFmtId="164" showAll="0" sortType="descending">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dataField="1" numFmtId="164" showAll="0" sortType="descending"/>
    <pivotField dataField="1" numFmtId="164" showAll="0" sortType="descending"/>
  </pivotFields>
  <rowFields count="1">
    <field x="1"/>
  </rowFields>
  <rowItems count="7">
    <i>
      <x v="6"/>
    </i>
    <i>
      <x v="5"/>
    </i>
    <i>
      <x v="4"/>
    </i>
    <i>
      <x v="3"/>
    </i>
    <i>
      <x v="2"/>
    </i>
    <i>
      <x v="1"/>
    </i>
    <i t="grand">
      <x/>
    </i>
  </rowItems>
  <colFields count="1">
    <field x="-2"/>
  </colFields>
  <colItems count="2">
    <i>
      <x/>
    </i>
    <i i="1">
      <x v="1"/>
    </i>
  </colItems>
  <dataFields count="2">
    <dataField name="Avg PS" fld="4" subtotal="average" baseField="1" baseItem="6"/>
    <dataField name="Avg ES" fld="5" subtotal="average" baseField="1" baseItem="6"/>
  </dataFields>
  <formats count="4">
    <format dxfId="11">
      <pivotArea type="all" dataOnly="0" outline="0" fieldPosition="0"/>
    </format>
    <format dxfId="10">
      <pivotArea outline="0" collapsedLevelsAreSubtotals="1" fieldPosition="0"/>
    </format>
    <format dxfId="9">
      <pivotArea dataOnly="0" labelOnly="1" grandRow="1" outline="0" fieldPosition="0"/>
    </format>
    <format dxfId="8">
      <pivotArea dataOnly="0" labelOnly="1" grandCol="1" outline="0" fieldPosition="0"/>
    </format>
  </format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8" series="1">
      <pivotArea type="data" outline="0" fieldPosition="0">
        <references count="1">
          <reference field="4294967294" count="1" selected="0">
            <x v="0"/>
          </reference>
        </references>
      </pivotArea>
    </chartFormat>
    <chartFormat chart="6" format="29">
      <pivotArea type="data" outline="0" fieldPosition="0">
        <references count="2">
          <reference field="4294967294" count="1" selected="0">
            <x v="0"/>
          </reference>
          <reference field="1" count="1" selected="0">
            <x v="6"/>
          </reference>
        </references>
      </pivotArea>
    </chartFormat>
    <chartFormat chart="6" format="30">
      <pivotArea type="data" outline="0" fieldPosition="0">
        <references count="2">
          <reference field="4294967294" count="1" selected="0">
            <x v="0"/>
          </reference>
          <reference field="1" count="1" selected="0">
            <x v="5"/>
          </reference>
        </references>
      </pivotArea>
    </chartFormat>
    <chartFormat chart="6" format="31">
      <pivotArea type="data" outline="0" fieldPosition="0">
        <references count="2">
          <reference field="4294967294" count="1" selected="0">
            <x v="0"/>
          </reference>
          <reference field="1" count="1" selected="0">
            <x v="4"/>
          </reference>
        </references>
      </pivotArea>
    </chartFormat>
    <chartFormat chart="6" format="32">
      <pivotArea type="data" outline="0" fieldPosition="0">
        <references count="2">
          <reference field="4294967294" count="1" selected="0">
            <x v="0"/>
          </reference>
          <reference field="1" count="1" selected="0">
            <x v="3"/>
          </reference>
        </references>
      </pivotArea>
    </chartFormat>
    <chartFormat chart="6" format="33">
      <pivotArea type="data" outline="0" fieldPosition="0">
        <references count="2">
          <reference field="4294967294" count="1" selected="0">
            <x v="0"/>
          </reference>
          <reference field="1" count="1" selected="0">
            <x v="2"/>
          </reference>
        </references>
      </pivotArea>
    </chartFormat>
    <chartFormat chart="6" format="34">
      <pivotArea type="data" outline="0" fieldPosition="0">
        <references count="2">
          <reference field="4294967294" count="1" selected="0">
            <x v="0"/>
          </reference>
          <reference field="1" count="1" selected="0">
            <x v="1"/>
          </reference>
        </references>
      </pivotArea>
    </chartFormat>
    <chartFormat chart="6" format="35" series="1">
      <pivotArea type="data" outline="0" fieldPosition="0">
        <references count="1">
          <reference field="4294967294" count="1" selected="0">
            <x v="1"/>
          </reference>
        </references>
      </pivotArea>
    </chartFormat>
    <chartFormat chart="6" format="36">
      <pivotArea type="data" outline="0" fieldPosition="0">
        <references count="2">
          <reference field="4294967294" count="1" selected="0">
            <x v="1"/>
          </reference>
          <reference field="1" count="1" selected="0">
            <x v="6"/>
          </reference>
        </references>
      </pivotArea>
    </chartFormat>
    <chartFormat chart="6" format="37">
      <pivotArea type="data" outline="0" fieldPosition="0">
        <references count="2">
          <reference field="4294967294" count="1" selected="0">
            <x v="1"/>
          </reference>
          <reference field="1" count="1" selected="0">
            <x v="5"/>
          </reference>
        </references>
      </pivotArea>
    </chartFormat>
    <chartFormat chart="6" format="38">
      <pivotArea type="data" outline="0" fieldPosition="0">
        <references count="2">
          <reference field="4294967294" count="1" selected="0">
            <x v="1"/>
          </reference>
          <reference field="1" count="1" selected="0">
            <x v="4"/>
          </reference>
        </references>
      </pivotArea>
    </chartFormat>
    <chartFormat chart="6" format="39">
      <pivotArea type="data" outline="0" fieldPosition="0">
        <references count="2">
          <reference field="4294967294" count="1" selected="0">
            <x v="1"/>
          </reference>
          <reference field="1" count="1" selected="0">
            <x v="3"/>
          </reference>
        </references>
      </pivotArea>
    </chartFormat>
    <chartFormat chart="6" format="40">
      <pivotArea type="data" outline="0" fieldPosition="0">
        <references count="2">
          <reference field="4294967294" count="1" selected="0">
            <x v="1"/>
          </reference>
          <reference field="1" count="1" selected="0">
            <x v="2"/>
          </reference>
        </references>
      </pivotArea>
    </chartFormat>
    <chartFormat chart="6" format="41">
      <pivotArea type="data" outline="0" fieldPosition="0">
        <references count="2">
          <reference field="4294967294" count="1" selected="0">
            <x v="1"/>
          </reference>
          <reference field="1"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 count="1" selected="0">
            <x v="6"/>
          </reference>
        </references>
      </pivotArea>
    </chartFormat>
    <chartFormat chart="25" format="16">
      <pivotArea type="data" outline="0" fieldPosition="0">
        <references count="2">
          <reference field="4294967294" count="1" selected="0">
            <x v="0"/>
          </reference>
          <reference field="1" count="1" selected="0">
            <x v="5"/>
          </reference>
        </references>
      </pivotArea>
    </chartFormat>
    <chartFormat chart="25" format="17">
      <pivotArea type="data" outline="0" fieldPosition="0">
        <references count="2">
          <reference field="4294967294" count="1" selected="0">
            <x v="0"/>
          </reference>
          <reference field="1" count="1" selected="0">
            <x v="4"/>
          </reference>
        </references>
      </pivotArea>
    </chartFormat>
    <chartFormat chart="25" format="18">
      <pivotArea type="data" outline="0" fieldPosition="0">
        <references count="2">
          <reference field="4294967294" count="1" selected="0">
            <x v="0"/>
          </reference>
          <reference field="1" count="1" selected="0">
            <x v="3"/>
          </reference>
        </references>
      </pivotArea>
    </chartFormat>
    <chartFormat chart="25" format="19">
      <pivotArea type="data" outline="0" fieldPosition="0">
        <references count="2">
          <reference field="4294967294" count="1" selected="0">
            <x v="0"/>
          </reference>
          <reference field="1" count="1" selected="0">
            <x v="2"/>
          </reference>
        </references>
      </pivotArea>
    </chartFormat>
    <chartFormat chart="25" format="20">
      <pivotArea type="data" outline="0" fieldPosition="0">
        <references count="2">
          <reference field="4294967294" count="1" selected="0">
            <x v="0"/>
          </reference>
          <reference field="1" count="1" selected="0">
            <x v="1"/>
          </reference>
        </references>
      </pivotArea>
    </chartFormat>
    <chartFormat chart="25" format="21" series="1">
      <pivotArea type="data" outline="0" fieldPosition="0">
        <references count="1">
          <reference field="4294967294" count="1" selected="0">
            <x v="1"/>
          </reference>
        </references>
      </pivotArea>
    </chartFormat>
    <chartFormat chart="25" format="22">
      <pivotArea type="data" outline="0" fieldPosition="0">
        <references count="2">
          <reference field="4294967294" count="1" selected="0">
            <x v="1"/>
          </reference>
          <reference field="1" count="1" selected="0">
            <x v="6"/>
          </reference>
        </references>
      </pivotArea>
    </chartFormat>
    <chartFormat chart="25" format="23">
      <pivotArea type="data" outline="0" fieldPosition="0">
        <references count="2">
          <reference field="4294967294" count="1" selected="0">
            <x v="1"/>
          </reference>
          <reference field="1" count="1" selected="0">
            <x v="5"/>
          </reference>
        </references>
      </pivotArea>
    </chartFormat>
    <chartFormat chart="25" format="24">
      <pivotArea type="data" outline="0" fieldPosition="0">
        <references count="2">
          <reference field="4294967294" count="1" selected="0">
            <x v="1"/>
          </reference>
          <reference field="1" count="1" selected="0">
            <x v="4"/>
          </reference>
        </references>
      </pivotArea>
    </chartFormat>
    <chartFormat chart="25" format="25">
      <pivotArea type="data" outline="0" fieldPosition="0">
        <references count="2">
          <reference field="4294967294" count="1" selected="0">
            <x v="1"/>
          </reference>
          <reference field="1" count="1" selected="0">
            <x v="3"/>
          </reference>
        </references>
      </pivotArea>
    </chartFormat>
    <chartFormat chart="25" format="26">
      <pivotArea type="data" outline="0" fieldPosition="0">
        <references count="2">
          <reference field="4294967294" count="1" selected="0">
            <x v="1"/>
          </reference>
          <reference field="1" count="1" selected="0">
            <x v="2"/>
          </reference>
        </references>
      </pivotArea>
    </chartFormat>
    <chartFormat chart="25" format="27">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0">
  <location ref="A3:C7" firstHeaderRow="0" firstDataRow="1" firstDataCol="1"/>
  <pivotFields count="3">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4">
    <i>
      <x v="1"/>
    </i>
    <i>
      <x v="2"/>
    </i>
    <i>
      <x/>
    </i>
    <i t="grand">
      <x/>
    </i>
  </rowItems>
  <colFields count="1">
    <field x="-2"/>
  </colFields>
  <colItems count="2">
    <i>
      <x/>
    </i>
    <i i="1">
      <x v="1"/>
    </i>
  </colItems>
  <dataFields count="2">
    <dataField name="Sum of Decline" fld="1" baseField="0" baseItem="0"/>
    <dataField name="Sum of Improv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10" firstHeaderRow="1" firstDataRow="1" firstDataCol="1"/>
  <pivotFields count="6">
    <pivotField showAll="0"/>
    <pivotField axis="axisRow" numFmtId="164"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numFmtId="164" showAll="0"/>
    <pivotField numFmtId="164" showAll="0">
      <items count="8">
        <item x="0"/>
        <item x="1"/>
        <item x="2"/>
        <item x="3"/>
        <item x="4"/>
        <item x="5"/>
        <item x="6"/>
        <item t="default"/>
      </items>
    </pivotField>
    <pivotField dataField="1" numFmtId="164" showAll="0"/>
    <pivotField numFmtId="164" showAll="0"/>
  </pivotFields>
  <rowFields count="1">
    <field x="1"/>
  </rowFields>
  <rowItems count="7">
    <i>
      <x v="5"/>
    </i>
    <i>
      <x v="1"/>
    </i>
    <i>
      <x v="4"/>
    </i>
    <i>
      <x v="6"/>
    </i>
    <i>
      <x v="3"/>
    </i>
    <i>
      <x v="2"/>
    </i>
    <i t="grand">
      <x/>
    </i>
  </rowItems>
  <colItems count="1">
    <i/>
  </colItems>
  <dataFields count="1">
    <dataField name="Average of Previous_Scores" fld="4" subtotal="average" baseField="1" baseItem="2"/>
  </dataFields>
  <formats count="4">
    <format dxfId="7">
      <pivotArea type="all" dataOnly="0" outline="0" fieldPosition="0"/>
    </format>
    <format dxfId="6">
      <pivotArea outline="0" collapsedLevelsAreSubtotals="1" fieldPosition="0"/>
    </format>
    <format dxfId="5">
      <pivotArea dataOnly="0" labelOnly="1" grandRow="1" outline="0" fieldPosition="0"/>
    </format>
    <format dxfId="4">
      <pivotArea dataOnly="0" labelOnly="1" grandCol="1" outline="0" fieldPosition="0"/>
    </format>
  </formats>
  <chartFormats count="1">
    <chartFormat chart="1" format="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10" firstHeaderRow="1" firstDataRow="1" firstDataCol="1"/>
  <pivotFields count="6">
    <pivotField showAll="0"/>
    <pivotField numFmtId="164" showAll="0">
      <items count="9">
        <item x="0"/>
        <item x="1"/>
        <item x="2"/>
        <item x="3"/>
        <item x="4"/>
        <item x="5"/>
        <item x="6"/>
        <item x="7"/>
        <item t="default"/>
      </items>
    </pivotField>
    <pivotField axis="axisRow" numFmtId="164"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numFmtId="164" showAll="0">
      <items count="8">
        <item x="0"/>
        <item x="1"/>
        <item x="2"/>
        <item x="3"/>
        <item x="4"/>
        <item x="5"/>
        <item x="6"/>
        <item t="default"/>
      </items>
    </pivotField>
    <pivotField numFmtId="164" showAll="0"/>
    <pivotField dataField="1" numFmtId="164" showAll="0"/>
  </pivotFields>
  <rowFields count="1">
    <field x="2"/>
  </rowFields>
  <rowItems count="7">
    <i>
      <x v="6"/>
    </i>
    <i>
      <x v="5"/>
    </i>
    <i>
      <x v="4"/>
    </i>
    <i>
      <x v="3"/>
    </i>
    <i>
      <x v="2"/>
    </i>
    <i>
      <x v="1"/>
    </i>
    <i t="grand">
      <x/>
    </i>
  </rowItems>
  <colItems count="1">
    <i/>
  </colItems>
  <dataFields count="1">
    <dataField name="Average of Exam_Score" fld="5" subtotal="average" baseField="2" baseItem="2"/>
  </dataFields>
  <formats count="4">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grandCol="1" outline="0" fieldPosition="0"/>
    </format>
  </formats>
  <chartFormats count="2">
    <chartFormat chart="2" format="69" series="1">
      <pivotArea type="data" outline="0" fieldPosition="0">
        <references count="1">
          <reference field="4294967294" count="1" selected="0">
            <x v="0"/>
          </reference>
        </references>
      </pivotArea>
    </chartFormat>
    <chartFormat chart="4" format="7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endance_Percent" sourceName="Attendance_Percent">
  <pivotTables>
    <pivotTable tabId="8" name="PivotTable6"/>
    <pivotTable tabId="4" name="PivotTable6"/>
    <pivotTable tabId="11" name="PivotTable6"/>
    <pivotTable tabId="12" name="PivotTable6"/>
    <pivotTable tabId="4" name="PivotTable2"/>
  </pivotTables>
  <data>
    <tabular pivotCacheId="1">
      <items count="7">
        <i x="1" s="1"/>
        <i x="2" s="1"/>
        <i x="3" s="1"/>
        <i x="4" s="1"/>
        <i x="5" s="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urs_Studied" sourceName="Hours_Studied">
  <pivotTables>
    <pivotTable tabId="4" name="PivotTable6"/>
    <pivotTable tabId="8" name="PivotTable6"/>
    <pivotTable tabId="11" name="PivotTable6"/>
    <pivotTable tabId="12" name="PivotTable6"/>
    <pivotTable tabId="4" name="PivotTable2"/>
  </pivotTables>
  <data>
    <tabular pivotCacheId="1">
      <items count="8">
        <i x="6" s="1"/>
        <i x="1" s="1"/>
        <i x="2" s="1"/>
        <i x="3" s="1"/>
        <i x="4" s="1"/>
        <i x="5"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urs_Studied" cache="Slicer_Hours_Studied" caption="Hours_Studie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ttendance_Percent" cache="Slicer_Attendance_Percent" caption="Attendance_Perc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ttendance_Percent 1" cache="Slicer_Attendance_Percent" caption="Attendance_Percent" showCaption="0" style="SlicerStyleDark3" rowHeight="234950"/>
  <slicer name="Hours_Studied 3" cache="Slicer_Hours_Studied" caption="Hours_Studied" startItem="1" showCaption="0" style="SlicerStyleDark3" rowHeight="234950"/>
</slicers>
</file>

<file path=xl/tables/table1.xml><?xml version="1.0" encoding="utf-8"?>
<table xmlns="http://schemas.openxmlformats.org/spreadsheetml/2006/main" id="1" name="Table1" displayName="Table1" ref="A1:M203" totalsRowShown="0" headerRowDxfId="27">
  <autoFilter ref="A1:M203"/>
  <tableColumns count="13">
    <tableColumn id="1" name="Student_Id"/>
    <tableColumn id="2" name="Hours_Studied" dataDxfId="26"/>
    <tableColumn id="3" name="Hours_Studied2" dataDxfId="25"/>
    <tableColumn id="4" name="Attendance_Percent" dataDxfId="24"/>
    <tableColumn id="5" name="Previous_Scores" dataDxfId="23"/>
    <tableColumn id="6" name="Exam_Score" dataDxfId="22"/>
    <tableColumn id="7" name="Column3" dataDxfId="21"/>
    <tableColumn id="8" name="Improvement" dataDxfId="20"/>
    <tableColumn id="9" name="Attendance"/>
    <tableColumn id="10" name="Study Hour"/>
    <tableColumn id="11" name="Exam Score"/>
    <tableColumn id="12" name="Previous Score"/>
    <tableColumn id="13" name="Previous hr V Exam Hr"/>
  </tableColumns>
  <tableStyleInfo showFirstColumn="0" showLastColumn="0" showRowStripes="1" showColumnStripes="0"/>
</table>
</file>

<file path=xl/theme/theme1.xml><?xml version="1.0" encoding="utf-8"?>
<a:theme xmlns:a="http://schemas.openxmlformats.org/drawingml/2006/main" name="Retrospect">
  <a:themeElements>
    <a:clrScheme name="Custom 5">
      <a:dk1>
        <a:sysClr val="windowText" lastClr="000000"/>
      </a:dk1>
      <a:lt1>
        <a:srgbClr val="FBE6CE"/>
      </a:lt1>
      <a:dk2>
        <a:srgbClr val="46210F"/>
      </a:dk2>
      <a:lt2>
        <a:srgbClr val="7C3A1C"/>
      </a:lt2>
      <a:accent1>
        <a:srgbClr val="D47044"/>
      </a:accent1>
      <a:accent2>
        <a:srgbClr val="A14B25"/>
      </a:accent2>
      <a:accent3>
        <a:srgbClr val="A25C0D"/>
      </a:accent3>
      <a:accent4>
        <a:srgbClr val="D9815A"/>
      </a:accent4>
      <a:accent5>
        <a:srgbClr val="553106"/>
      </a:accent5>
      <a:accent6>
        <a:srgbClr val="D9815A"/>
      </a:accent6>
      <a:hlink>
        <a:srgbClr val="693117"/>
      </a:hlink>
      <a:folHlink>
        <a:srgbClr val="644030"/>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3"/>
  <sheetViews>
    <sheetView topLeftCell="E1" workbookViewId="0">
      <pane ySplit="1" topLeftCell="A173" activePane="bottomLeft" state="frozen"/>
      <selection pane="bottomLeft" activeCell="P20" sqref="P20"/>
    </sheetView>
  </sheetViews>
  <sheetFormatPr defaultRowHeight="13.8" x14ac:dyDescent="0.3"/>
  <cols>
    <col min="1" max="1" width="10.88671875" customWidth="1"/>
    <col min="2" max="2" width="13.88671875" style="2" customWidth="1"/>
    <col min="3" max="3" width="14.88671875" style="11" customWidth="1"/>
    <col min="4" max="4" width="18.5546875" style="4" customWidth="1"/>
    <col min="5" max="5" width="14.77734375" customWidth="1"/>
    <col min="6" max="6" width="11.33203125" customWidth="1"/>
    <col min="7" max="7" width="8.88671875" customWidth="1"/>
    <col min="8" max="9" width="11.33203125" customWidth="1"/>
    <col min="10" max="10" width="18.6640625" customWidth="1"/>
    <col min="11" max="11" width="11.5546875" customWidth="1"/>
    <col min="12" max="12" width="14.109375" customWidth="1"/>
    <col min="13" max="13" width="20.33203125" customWidth="1"/>
    <col min="15" max="15" width="18.6640625" customWidth="1"/>
    <col min="16" max="16" width="10.77734375" customWidth="1"/>
    <col min="17" max="17" width="8.77734375" customWidth="1"/>
  </cols>
  <sheetData>
    <row r="1" spans="1:18" s="1" customFormat="1" ht="14.4" x14ac:dyDescent="0.3">
      <c r="A1" s="1" t="s">
        <v>200</v>
      </c>
      <c r="B1" s="3" t="s">
        <v>201</v>
      </c>
      <c r="C1" s="19" t="s">
        <v>256</v>
      </c>
      <c r="D1" s="3" t="s">
        <v>202</v>
      </c>
      <c r="E1" s="3" t="s">
        <v>203</v>
      </c>
      <c r="F1" s="3" t="s">
        <v>204</v>
      </c>
      <c r="G1" s="1" t="s">
        <v>257</v>
      </c>
      <c r="H1" s="1" t="s">
        <v>241</v>
      </c>
      <c r="I1" s="1" t="s">
        <v>227</v>
      </c>
      <c r="J1" s="1" t="s">
        <v>242</v>
      </c>
      <c r="K1" s="1" t="s">
        <v>243</v>
      </c>
      <c r="L1" s="1" t="s">
        <v>255</v>
      </c>
      <c r="M1" s="1" t="s">
        <v>252</v>
      </c>
      <c r="R1" s="18"/>
    </row>
    <row r="2" spans="1:18" ht="14.4" x14ac:dyDescent="0.3">
      <c r="A2" t="s">
        <v>0</v>
      </c>
      <c r="B2" s="4">
        <v>8</v>
      </c>
      <c r="C2" s="4">
        <v>9</v>
      </c>
      <c r="D2" s="4">
        <v>72.099999999999994</v>
      </c>
      <c r="E2" s="4">
        <v>45</v>
      </c>
      <c r="F2" s="4">
        <v>30.2</v>
      </c>
      <c r="G2" s="4">
        <f t="shared" ref="G2:G33" si="0">F2-E2</f>
        <v>-14.8</v>
      </c>
      <c r="H2" s="4" t="str">
        <f t="shared" ref="H2:H36" si="1">IF(G2&lt;0,"Decline","improved")</f>
        <v>Decline</v>
      </c>
      <c r="I2" t="str">
        <f>IF(AND(D2&gt;=50,D2&lt;=60.9),"50-60",IF(AND(D2&gt;=61,D2&lt;=70.9),"61-70",IF(AND(D2&gt;=71,D2&lt;=80.9),"71-80",IF(AND(D2&gt;=81,D2&lt;=90.9),"81-90",IF(AND(D2&gt;=91,D2&lt;=100),"91-100")))))</f>
        <v>71-80</v>
      </c>
      <c r="J2" t="str">
        <f>IF(AND(C2&gt;=1,C2&lt;=3),"1-3",IF(AND(C2&gt;=4,C2&lt;=6),"4-6",IF(AND(C2&gt;=7,C2&lt;=9),"7-9",IF(AND(C2&gt;=10,C2&lt;=12),"10-12",IF(AND(C2&gt;=13,C2&lt;=14),"13-14")))))</f>
        <v>7-9</v>
      </c>
      <c r="K2" t="str">
        <f t="shared" ref="K2:K33" si="2">IF($F$2:$F$201&gt;=40,"Pass","Fail")</f>
        <v>Fail</v>
      </c>
      <c r="L2" t="str">
        <f t="shared" ref="L2:L33" si="3">IF($E$2:$E$201&gt;=50,"Pass","Fail")</f>
        <v>Fail</v>
      </c>
      <c r="M2" t="str">
        <f t="shared" ref="M2:M33" si="4">IF(AND(B2&gt;C2),"Decrease","Increase")</f>
        <v>Increase</v>
      </c>
      <c r="R2" s="4"/>
    </row>
    <row r="3" spans="1:18" ht="14.4" x14ac:dyDescent="0.3">
      <c r="A3" t="s">
        <v>19</v>
      </c>
      <c r="B3" s="4">
        <v>1.1000000000000001</v>
      </c>
      <c r="C3" s="4">
        <v>2.1</v>
      </c>
      <c r="D3" s="4">
        <v>53.6</v>
      </c>
      <c r="E3" s="4">
        <v>65</v>
      </c>
      <c r="F3" s="4">
        <v>17.100000000000001</v>
      </c>
      <c r="G3" s="4">
        <f t="shared" si="0"/>
        <v>-47.9</v>
      </c>
      <c r="H3" s="4" t="str">
        <f t="shared" si="1"/>
        <v>Decline</v>
      </c>
      <c r="I3" t="str">
        <f t="shared" ref="I3:I11" si="5">IF(AND(D3&gt;=50,D3&lt;=60.9),"50-60",IF(AND(D3&gt;=61,D3&lt;=70.9),"61-70",IF(AND(D3&gt;=71,D3&lt;=80.9),"71-80",IF(AND(D3&gt;=81,D3&lt;=90.9),"81-90",IF(AND(D3&gt;=91,D3&lt;=100),"91-100")))))</f>
        <v>50-60</v>
      </c>
      <c r="J3" t="str">
        <f>IF(AND(C3&gt;=1,C3&lt;=3),"1-3",IF(AND(C3&gt;=4,C3&lt;=6),"4-6",IF(AND(C3&gt;=7,C3&lt;=9),"7-9",IF(AND(C3&gt;=10,C3&lt;=12),"10-12",IF(AND(C3&gt;=13,C3&lt;=14),"13-14")))))</f>
        <v>1-3</v>
      </c>
      <c r="K3" t="str">
        <f t="shared" si="2"/>
        <v>Fail</v>
      </c>
      <c r="L3" t="str">
        <f t="shared" si="3"/>
        <v>Pass</v>
      </c>
      <c r="M3" t="str">
        <f t="shared" si="4"/>
        <v>Increase</v>
      </c>
      <c r="R3" s="4"/>
    </row>
    <row r="4" spans="1:18" ht="14.4" x14ac:dyDescent="0.3">
      <c r="A4" t="s">
        <v>2</v>
      </c>
      <c r="B4" s="4">
        <v>4</v>
      </c>
      <c r="C4" s="4">
        <v>5</v>
      </c>
      <c r="D4" s="4">
        <v>73.7</v>
      </c>
      <c r="E4" s="4">
        <v>86</v>
      </c>
      <c r="F4" s="4">
        <v>35.799999999999997</v>
      </c>
      <c r="G4" s="4">
        <f t="shared" si="0"/>
        <v>-50.2</v>
      </c>
      <c r="H4" s="4" t="str">
        <f t="shared" si="1"/>
        <v>Decline</v>
      </c>
      <c r="I4" t="str">
        <f t="shared" si="5"/>
        <v>71-80</v>
      </c>
      <c r="J4" t="str">
        <f>IF(AND(C4&gt;=1,C4&lt;=3),"1-3",IF(AND(C4&gt;=4,C4&lt;=6),"4-6",IF(AND(C4&gt;=7,C4&lt;=9),"7-9",IF(AND(C4&gt;=10,C4&lt;=12),"10-12",IF(AND(C4&gt;=13,C4&lt;=14),"13-14")))))</f>
        <v>4-6</v>
      </c>
      <c r="K4" t="str">
        <f t="shared" si="2"/>
        <v>Fail</v>
      </c>
      <c r="L4" t="str">
        <f t="shared" si="3"/>
        <v>Pass</v>
      </c>
      <c r="M4" t="str">
        <f t="shared" si="4"/>
        <v>Increase</v>
      </c>
      <c r="R4" s="4"/>
    </row>
    <row r="5" spans="1:18" ht="14.4" x14ac:dyDescent="0.3">
      <c r="A5" t="s">
        <v>3</v>
      </c>
      <c r="B5" s="4">
        <v>3.5</v>
      </c>
      <c r="C5" s="4">
        <v>4.5</v>
      </c>
      <c r="D5" s="4">
        <v>95.1</v>
      </c>
      <c r="E5" s="4">
        <v>66</v>
      </c>
      <c r="F5" s="4">
        <v>34</v>
      </c>
      <c r="G5" s="4">
        <f t="shared" si="0"/>
        <v>-32</v>
      </c>
      <c r="H5" s="4" t="str">
        <f t="shared" si="1"/>
        <v>Decline</v>
      </c>
      <c r="I5" t="str">
        <f t="shared" si="5"/>
        <v>91-100</v>
      </c>
      <c r="J5" t="str">
        <f>IF(AND(C5&gt;=1,C5&lt;=3),"1-3",IF(AND(C5&gt;=4,C5&lt;=6),"4-6",IF(AND(C5&gt;=7,C5&lt;=9),"7-9",IF(AND(C5&gt;=10,C5&lt;=12),"10-12",IF(AND(C5&gt;=13,C5&lt;=14),"13-14")))))</f>
        <v>4-6</v>
      </c>
      <c r="K5" t="str">
        <f t="shared" si="2"/>
        <v>Fail</v>
      </c>
      <c r="L5" t="str">
        <f t="shared" si="3"/>
        <v>Pass</v>
      </c>
      <c r="M5" t="str">
        <f t="shared" si="4"/>
        <v>Increase</v>
      </c>
      <c r="R5" s="4"/>
    </row>
    <row r="6" spans="1:18" ht="14.4" x14ac:dyDescent="0.3">
      <c r="A6" t="s">
        <v>4</v>
      </c>
      <c r="B6" s="4">
        <v>9.1</v>
      </c>
      <c r="C6" s="4">
        <v>10.1</v>
      </c>
      <c r="D6" s="4">
        <v>89.8</v>
      </c>
      <c r="E6" s="4">
        <v>71</v>
      </c>
      <c r="F6" s="4">
        <v>40.299999999999997</v>
      </c>
      <c r="G6" s="4">
        <f t="shared" si="0"/>
        <v>-30.700000000000003</v>
      </c>
      <c r="H6" s="4" t="str">
        <f t="shared" si="1"/>
        <v>Decline</v>
      </c>
      <c r="I6" t="str">
        <f t="shared" si="5"/>
        <v>81-90</v>
      </c>
      <c r="J6" t="str">
        <f>IF(AND(C6&gt;=1,C6&lt;=3),"1-3",IF(AND(C6&gt;=4,C6&lt;=6),"4-6",IF(AND(C6&gt;=7,C6&lt;=9),"7-9",IF(AND(C6&gt;=10,C6&lt;=12),"10-12",IF(AND(C6&gt;=13,C6&lt;=14),"13-14")))))</f>
        <v>10-12</v>
      </c>
      <c r="K6" t="str">
        <f t="shared" si="2"/>
        <v>Pass</v>
      </c>
      <c r="L6" t="str">
        <f t="shared" si="3"/>
        <v>Pass</v>
      </c>
      <c r="M6" t="str">
        <f t="shared" si="4"/>
        <v>Increase</v>
      </c>
      <c r="O6" s="13" t="s">
        <v>227</v>
      </c>
      <c r="P6" s="13" t="s">
        <v>225</v>
      </c>
      <c r="Q6" s="13" t="s">
        <v>226</v>
      </c>
    </row>
    <row r="7" spans="1:18" ht="14.4" x14ac:dyDescent="0.3">
      <c r="A7" t="s">
        <v>5</v>
      </c>
      <c r="B7" s="4">
        <v>8.4</v>
      </c>
      <c r="C7" s="4">
        <v>9.4</v>
      </c>
      <c r="D7" s="4">
        <v>58.5</v>
      </c>
      <c r="E7" s="4">
        <v>75</v>
      </c>
      <c r="F7" s="4">
        <v>35.700000000000003</v>
      </c>
      <c r="G7" s="4">
        <f t="shared" si="0"/>
        <v>-39.299999999999997</v>
      </c>
      <c r="H7" s="4" t="str">
        <f t="shared" si="1"/>
        <v>Decline</v>
      </c>
      <c r="I7" t="str">
        <f t="shared" si="5"/>
        <v>50-60</v>
      </c>
      <c r="J7" t="str">
        <f t="shared" ref="J7:J38" si="6">IF(AND(C7&gt;=1,C7&lt;=3.9),"1-3",IF(AND(C7&gt;=4,C7&lt;=6.9),"4-6",IF(AND(C7&gt;=7,C7&lt;=9.9),"7-9",IF(AND(C7&gt;=10,C7&lt;=12.9),"10-12",IF(AND(C7&gt;=13,C7&lt;=14),"13-14")))))</f>
        <v>7-9</v>
      </c>
      <c r="K7" t="str">
        <f t="shared" si="2"/>
        <v>Fail</v>
      </c>
      <c r="L7" t="str">
        <f t="shared" si="3"/>
        <v>Pass</v>
      </c>
      <c r="M7" t="str">
        <f t="shared" si="4"/>
        <v>Increase</v>
      </c>
      <c r="O7" s="14" t="s">
        <v>248</v>
      </c>
      <c r="P7">
        <f>COUNTIF($I$2:$I$201,O7)</f>
        <v>32</v>
      </c>
      <c r="Q7">
        <v>0</v>
      </c>
    </row>
    <row r="8" spans="1:18" ht="14.4" x14ac:dyDescent="0.3">
      <c r="A8" t="s">
        <v>6</v>
      </c>
      <c r="B8" s="4">
        <v>10.8</v>
      </c>
      <c r="C8" s="4">
        <v>11.8</v>
      </c>
      <c r="D8" s="4">
        <v>54.2</v>
      </c>
      <c r="E8" s="4">
        <v>88</v>
      </c>
      <c r="F8" s="4">
        <v>37.9</v>
      </c>
      <c r="G8" s="4">
        <f t="shared" si="0"/>
        <v>-50.1</v>
      </c>
      <c r="H8" s="4" t="str">
        <f t="shared" si="1"/>
        <v>Decline</v>
      </c>
      <c r="I8" t="str">
        <f t="shared" si="5"/>
        <v>50-60</v>
      </c>
      <c r="J8" t="str">
        <f t="shared" si="6"/>
        <v>10-12</v>
      </c>
      <c r="K8" t="str">
        <f t="shared" si="2"/>
        <v>Fail</v>
      </c>
      <c r="L8" t="str">
        <f t="shared" si="3"/>
        <v>Pass</v>
      </c>
      <c r="M8" t="str">
        <f t="shared" si="4"/>
        <v>Increase</v>
      </c>
      <c r="O8" s="14" t="s">
        <v>250</v>
      </c>
      <c r="P8">
        <f>COUNTIF($I$2:$I$202,O8)</f>
        <v>37</v>
      </c>
      <c r="Q8">
        <v>0</v>
      </c>
    </row>
    <row r="9" spans="1:18" ht="14.4" x14ac:dyDescent="0.3">
      <c r="A9" t="s">
        <v>7</v>
      </c>
      <c r="B9" s="4">
        <v>2</v>
      </c>
      <c r="C9" s="4">
        <v>3</v>
      </c>
      <c r="D9" s="4">
        <v>75.8</v>
      </c>
      <c r="E9" s="4">
        <v>55</v>
      </c>
      <c r="F9" s="4">
        <v>18.3</v>
      </c>
      <c r="G9" s="4">
        <f t="shared" si="0"/>
        <v>-36.700000000000003</v>
      </c>
      <c r="H9" s="4" t="str">
        <f t="shared" si="1"/>
        <v>Decline</v>
      </c>
      <c r="I9" t="str">
        <f t="shared" si="5"/>
        <v>71-80</v>
      </c>
      <c r="J9" t="str">
        <f t="shared" si="6"/>
        <v>1-3</v>
      </c>
      <c r="K9" t="str">
        <f t="shared" si="2"/>
        <v>Fail</v>
      </c>
      <c r="L9" t="str">
        <f t="shared" si="3"/>
        <v>Pass</v>
      </c>
      <c r="M9" t="str">
        <f t="shared" si="4"/>
        <v>Increase</v>
      </c>
      <c r="O9" s="14" t="s">
        <v>247</v>
      </c>
      <c r="P9">
        <f>COUNTIF($I$2:$I$203,O9)</f>
        <v>38</v>
      </c>
      <c r="Q9">
        <v>0</v>
      </c>
    </row>
    <row r="10" spans="1:18" ht="14.4" x14ac:dyDescent="0.3">
      <c r="A10" t="s">
        <v>8</v>
      </c>
      <c r="B10" s="4">
        <v>5.6</v>
      </c>
      <c r="C10" s="4">
        <v>6.6</v>
      </c>
      <c r="D10" s="4">
        <v>81.599999999999994</v>
      </c>
      <c r="E10" s="4">
        <v>84</v>
      </c>
      <c r="F10" s="4">
        <v>34.700000000000003</v>
      </c>
      <c r="G10" s="4">
        <f t="shared" si="0"/>
        <v>-49.3</v>
      </c>
      <c r="H10" s="4" t="str">
        <f t="shared" si="1"/>
        <v>Decline</v>
      </c>
      <c r="I10" t="str">
        <f t="shared" si="5"/>
        <v>81-90</v>
      </c>
      <c r="J10" t="str">
        <f t="shared" si="6"/>
        <v>4-6</v>
      </c>
      <c r="K10" t="str">
        <f t="shared" si="2"/>
        <v>Fail</v>
      </c>
      <c r="L10" t="str">
        <f t="shared" si="3"/>
        <v>Pass</v>
      </c>
      <c r="M10" t="str">
        <f t="shared" si="4"/>
        <v>Increase</v>
      </c>
      <c r="O10" s="14" t="s">
        <v>249</v>
      </c>
      <c r="P10">
        <f>COUNTIF($I$2:$I$204,O10)</f>
        <v>44</v>
      </c>
      <c r="Q10">
        <v>0</v>
      </c>
    </row>
    <row r="11" spans="1:18" ht="14.4" x14ac:dyDescent="0.3">
      <c r="A11" t="s">
        <v>183</v>
      </c>
      <c r="B11" s="4">
        <v>2.1</v>
      </c>
      <c r="C11" s="4">
        <v>3.1</v>
      </c>
      <c r="D11" s="4">
        <v>54.3</v>
      </c>
      <c r="E11" s="4">
        <v>54</v>
      </c>
      <c r="F11" s="4">
        <v>19.399999999999999</v>
      </c>
      <c r="G11" s="4">
        <f t="shared" si="0"/>
        <v>-34.6</v>
      </c>
      <c r="H11" s="4" t="str">
        <f t="shared" si="1"/>
        <v>Decline</v>
      </c>
      <c r="I11" t="str">
        <f t="shared" si="5"/>
        <v>50-60</v>
      </c>
      <c r="J11" t="str">
        <f t="shared" si="6"/>
        <v>1-3</v>
      </c>
      <c r="K11" t="str">
        <f t="shared" si="2"/>
        <v>Fail</v>
      </c>
      <c r="L11" t="str">
        <f t="shared" si="3"/>
        <v>Pass</v>
      </c>
      <c r="M11" t="str">
        <f t="shared" si="4"/>
        <v>Increase</v>
      </c>
      <c r="O11" s="14" t="s">
        <v>251</v>
      </c>
      <c r="P11">
        <f>COUNTIF($I$2:$I$205,O11)</f>
        <v>49</v>
      </c>
      <c r="Q11">
        <v>0</v>
      </c>
    </row>
    <row r="12" spans="1:18" ht="14.4" x14ac:dyDescent="0.3">
      <c r="A12" t="s">
        <v>70</v>
      </c>
      <c r="B12" s="4">
        <v>3.3</v>
      </c>
      <c r="C12" s="4">
        <v>4.3</v>
      </c>
      <c r="D12" s="4">
        <v>70.400000000000006</v>
      </c>
      <c r="E12" s="4">
        <v>40</v>
      </c>
      <c r="F12" s="4">
        <v>20.8</v>
      </c>
      <c r="G12" s="4">
        <f t="shared" si="0"/>
        <v>-19.2</v>
      </c>
      <c r="H12" s="4" t="str">
        <f t="shared" si="1"/>
        <v>Decline</v>
      </c>
      <c r="I12" t="str">
        <f>IF(AND(D12&gt;=50,D12&lt;=60.9),"50-60",IF(AND(D12&gt;=61,D12&lt;=70.9),"61-70",IF(AND(D12&gt;=71,D12&lt;=80.9),"71-80",IF(AND(D12&gt;=81,D12&lt;=90.9),"81-90",IF(AND(D12&gt;=91,D12&lt;=100),"91-100")))))</f>
        <v>61-70</v>
      </c>
      <c r="J12" t="str">
        <f t="shared" si="6"/>
        <v>4-6</v>
      </c>
      <c r="K12" t="str">
        <f t="shared" si="2"/>
        <v>Fail</v>
      </c>
      <c r="L12" t="str">
        <f t="shared" si="3"/>
        <v>Fail</v>
      </c>
      <c r="M12" t="str">
        <f t="shared" si="4"/>
        <v>Increase</v>
      </c>
    </row>
    <row r="13" spans="1:18" ht="14.4" x14ac:dyDescent="0.3">
      <c r="A13" t="s">
        <v>11</v>
      </c>
      <c r="B13" s="4">
        <v>6.6</v>
      </c>
      <c r="C13" s="4">
        <v>7.6</v>
      </c>
      <c r="D13" s="4">
        <v>87.6</v>
      </c>
      <c r="E13" s="4">
        <v>85</v>
      </c>
      <c r="F13" s="4">
        <v>35.1</v>
      </c>
      <c r="G13" s="4">
        <f t="shared" si="0"/>
        <v>-49.9</v>
      </c>
      <c r="H13" s="4" t="str">
        <f t="shared" si="1"/>
        <v>Decline</v>
      </c>
      <c r="I13" t="str">
        <f t="shared" ref="I13:I76" si="7">IF(AND(D13&gt;=50,D13&lt;=60.9),"50-60",IF(AND(D13&gt;=61,D13&lt;=70.9),"61-70",IF(AND(D13&gt;=71,D13&lt;=80.9),"71-80",IF(AND(D13&gt;=81,D13&lt;=90.9),"81-90",IF(AND(D13&gt;=91,D13&lt;=100),"91-100")))))</f>
        <v>81-90</v>
      </c>
      <c r="J13" t="str">
        <f t="shared" si="6"/>
        <v>7-9</v>
      </c>
      <c r="K13" t="str">
        <f t="shared" si="2"/>
        <v>Fail</v>
      </c>
      <c r="L13" t="str">
        <f t="shared" si="3"/>
        <v>Pass</v>
      </c>
      <c r="M13" t="str">
        <f t="shared" si="4"/>
        <v>Increase</v>
      </c>
      <c r="O13" s="14" t="s">
        <v>238</v>
      </c>
      <c r="P13" s="14" t="s">
        <v>239</v>
      </c>
      <c r="Q13" s="14" t="s">
        <v>240</v>
      </c>
    </row>
    <row r="14" spans="1:18" ht="14.4" x14ac:dyDescent="0.3">
      <c r="A14" t="s">
        <v>124</v>
      </c>
      <c r="B14" s="4">
        <v>1</v>
      </c>
      <c r="C14" s="4">
        <v>2</v>
      </c>
      <c r="D14" s="4">
        <v>82.6</v>
      </c>
      <c r="E14" s="4">
        <v>54</v>
      </c>
      <c r="F14" s="4">
        <v>21.2</v>
      </c>
      <c r="G14" s="4">
        <f t="shared" si="0"/>
        <v>-32.799999999999997</v>
      </c>
      <c r="H14" s="4" t="str">
        <f t="shared" si="1"/>
        <v>Decline</v>
      </c>
      <c r="I14" t="str">
        <f t="shared" si="7"/>
        <v>81-90</v>
      </c>
      <c r="J14" t="str">
        <f t="shared" si="6"/>
        <v>1-3</v>
      </c>
      <c r="K14" t="str">
        <f t="shared" si="2"/>
        <v>Fail</v>
      </c>
      <c r="L14" t="str">
        <f t="shared" si="3"/>
        <v>Pass</v>
      </c>
      <c r="M14" t="str">
        <f t="shared" si="4"/>
        <v>Increase</v>
      </c>
      <c r="O14" s="17" t="s">
        <v>244</v>
      </c>
      <c r="P14" s="16">
        <f>COUNTIF('student_exam_scores '!$L$2:$L$203,"pass")</f>
        <v>166</v>
      </c>
      <c r="Q14">
        <f>COUNTIF('student_exam_scores '!$K$2:$K$203,"Pass")</f>
        <v>38</v>
      </c>
    </row>
    <row r="15" spans="1:18" ht="14.4" x14ac:dyDescent="0.3">
      <c r="A15" t="s">
        <v>169</v>
      </c>
      <c r="B15" s="4">
        <v>2.5</v>
      </c>
      <c r="C15" s="4">
        <v>3.5</v>
      </c>
      <c r="D15" s="4">
        <v>91.4</v>
      </c>
      <c r="E15" s="4">
        <v>44</v>
      </c>
      <c r="F15" s="4">
        <v>22.8</v>
      </c>
      <c r="G15" s="4">
        <f t="shared" si="0"/>
        <v>-21.2</v>
      </c>
      <c r="H15" s="4" t="str">
        <f t="shared" si="1"/>
        <v>Decline</v>
      </c>
      <c r="I15" t="str">
        <f t="shared" si="7"/>
        <v>91-100</v>
      </c>
      <c r="J15" t="str">
        <f t="shared" si="6"/>
        <v>1-3</v>
      </c>
      <c r="K15" t="str">
        <f t="shared" si="2"/>
        <v>Fail</v>
      </c>
      <c r="L15" t="str">
        <f t="shared" si="3"/>
        <v>Fail</v>
      </c>
      <c r="M15" t="str">
        <f t="shared" si="4"/>
        <v>Increase</v>
      </c>
      <c r="O15" t="s">
        <v>245</v>
      </c>
      <c r="P15">
        <v>34</v>
      </c>
      <c r="Q15">
        <f>COUNTIF('student_exam_scores '!$K$2:$K$203,"Fail")</f>
        <v>162</v>
      </c>
    </row>
    <row r="16" spans="1:18" ht="14.4" x14ac:dyDescent="0.3">
      <c r="A16" t="s">
        <v>14</v>
      </c>
      <c r="B16" s="4">
        <v>8.1</v>
      </c>
      <c r="C16" s="4">
        <v>9.1</v>
      </c>
      <c r="D16" s="4">
        <v>60</v>
      </c>
      <c r="E16" s="4">
        <v>90</v>
      </c>
      <c r="F16" s="4">
        <v>41.1</v>
      </c>
      <c r="G16" s="4">
        <f t="shared" si="0"/>
        <v>-48.9</v>
      </c>
      <c r="H16" s="4" t="str">
        <f t="shared" si="1"/>
        <v>Decline</v>
      </c>
      <c r="I16" t="str">
        <f t="shared" si="7"/>
        <v>50-60</v>
      </c>
      <c r="J16" t="str">
        <f t="shared" si="6"/>
        <v>7-9</v>
      </c>
      <c r="K16" t="str">
        <f t="shared" si="2"/>
        <v>Pass</v>
      </c>
      <c r="L16" t="str">
        <f t="shared" si="3"/>
        <v>Pass</v>
      </c>
      <c r="M16" t="str">
        <f t="shared" si="4"/>
        <v>Increase</v>
      </c>
    </row>
    <row r="17" spans="1:17" ht="14.4" x14ac:dyDescent="0.3">
      <c r="A17" t="s">
        <v>15</v>
      </c>
      <c r="B17" s="4">
        <v>7</v>
      </c>
      <c r="C17" s="4">
        <v>8</v>
      </c>
      <c r="D17" s="4">
        <v>51.2</v>
      </c>
      <c r="E17" s="4">
        <v>41</v>
      </c>
      <c r="F17" s="4">
        <v>34.1</v>
      </c>
      <c r="G17" s="4">
        <f t="shared" si="0"/>
        <v>-6.8999999999999986</v>
      </c>
      <c r="H17" s="4" t="str">
        <f t="shared" si="1"/>
        <v>Decline</v>
      </c>
      <c r="I17" t="str">
        <f t="shared" si="7"/>
        <v>50-60</v>
      </c>
      <c r="J17" t="str">
        <f t="shared" si="6"/>
        <v>7-9</v>
      </c>
      <c r="K17" t="str">
        <f t="shared" si="2"/>
        <v>Fail</v>
      </c>
      <c r="L17" t="str">
        <f t="shared" si="3"/>
        <v>Fail</v>
      </c>
      <c r="M17" t="str">
        <f t="shared" si="4"/>
        <v>Increase</v>
      </c>
      <c r="O17" s="1" t="s">
        <v>252</v>
      </c>
    </row>
    <row r="18" spans="1:17" ht="14.4" x14ac:dyDescent="0.3">
      <c r="A18" t="s">
        <v>41</v>
      </c>
      <c r="B18" s="4">
        <v>1.5</v>
      </c>
      <c r="C18" s="4">
        <v>2.5</v>
      </c>
      <c r="D18" s="4">
        <v>99.4</v>
      </c>
      <c r="E18" s="4">
        <v>47</v>
      </c>
      <c r="F18" s="4">
        <v>23.1</v>
      </c>
      <c r="G18" s="4">
        <f t="shared" si="0"/>
        <v>-23.9</v>
      </c>
      <c r="H18" s="4" t="str">
        <f t="shared" si="1"/>
        <v>Decline</v>
      </c>
      <c r="I18" t="str">
        <f t="shared" si="7"/>
        <v>91-100</v>
      </c>
      <c r="J18" t="str">
        <f t="shared" si="6"/>
        <v>1-3</v>
      </c>
      <c r="K18" t="str">
        <f>IF($F$2:$F$201&gt;=40,"Pass","Fail")</f>
        <v>Fail</v>
      </c>
      <c r="L18" t="str">
        <f t="shared" si="3"/>
        <v>Fail</v>
      </c>
      <c r="M18" t="str">
        <f t="shared" si="4"/>
        <v>Increase</v>
      </c>
      <c r="O18" t="s">
        <v>253</v>
      </c>
      <c r="P18">
        <f>COUNTIF($M$2:$M$201,O18)</f>
        <v>200</v>
      </c>
    </row>
    <row r="19" spans="1:17" ht="14.4" x14ac:dyDescent="0.3">
      <c r="A19" t="s">
        <v>17</v>
      </c>
      <c r="B19" s="4">
        <v>7.5</v>
      </c>
      <c r="C19" s="4">
        <v>8.5</v>
      </c>
      <c r="D19" s="4">
        <v>73.8</v>
      </c>
      <c r="E19" s="4">
        <v>58</v>
      </c>
      <c r="F19" s="4">
        <v>36.299999999999997</v>
      </c>
      <c r="G19" s="4">
        <f t="shared" si="0"/>
        <v>-21.700000000000003</v>
      </c>
      <c r="H19" s="4" t="str">
        <f t="shared" si="1"/>
        <v>Decline</v>
      </c>
      <c r="I19" t="str">
        <f t="shared" si="7"/>
        <v>71-80</v>
      </c>
      <c r="J19" t="str">
        <f t="shared" si="6"/>
        <v>7-9</v>
      </c>
      <c r="K19" t="str">
        <f t="shared" si="2"/>
        <v>Fail</v>
      </c>
      <c r="L19" t="str">
        <f t="shared" si="3"/>
        <v>Pass</v>
      </c>
      <c r="M19" t="str">
        <f t="shared" si="4"/>
        <v>Increase</v>
      </c>
      <c r="O19" s="15" t="s">
        <v>254</v>
      </c>
      <c r="P19">
        <f>COUNTIF($M$3:$M$201,O19)</f>
        <v>0</v>
      </c>
      <c r="Q19" s="15"/>
    </row>
    <row r="20" spans="1:17" ht="14.4" x14ac:dyDescent="0.3">
      <c r="A20" t="s">
        <v>18</v>
      </c>
      <c r="B20" s="4">
        <v>9.9</v>
      </c>
      <c r="C20" s="4">
        <v>10.9</v>
      </c>
      <c r="D20" s="4">
        <v>92.5</v>
      </c>
      <c r="E20" s="4">
        <v>54</v>
      </c>
      <c r="F20" s="4">
        <v>35.6</v>
      </c>
      <c r="G20" s="4">
        <f t="shared" si="0"/>
        <v>-18.399999999999999</v>
      </c>
      <c r="H20" s="4" t="str">
        <f t="shared" si="1"/>
        <v>Decline</v>
      </c>
      <c r="I20" t="str">
        <f t="shared" si="7"/>
        <v>91-100</v>
      </c>
      <c r="J20" t="str">
        <f t="shared" si="6"/>
        <v>10-12</v>
      </c>
      <c r="K20" t="str">
        <f t="shared" si="2"/>
        <v>Fail</v>
      </c>
      <c r="L20" t="str">
        <f t="shared" si="3"/>
        <v>Pass</v>
      </c>
      <c r="M20" t="str">
        <f t="shared" si="4"/>
        <v>Increase</v>
      </c>
    </row>
    <row r="21" spans="1:17" ht="14.4" x14ac:dyDescent="0.3">
      <c r="A21" t="s">
        <v>188</v>
      </c>
      <c r="B21" s="4">
        <v>3.1</v>
      </c>
      <c r="C21" s="4">
        <v>4.0999999999999996</v>
      </c>
      <c r="D21" s="4">
        <v>68.900000000000006</v>
      </c>
      <c r="E21" s="4">
        <v>49</v>
      </c>
      <c r="F21" s="4">
        <v>23.4</v>
      </c>
      <c r="G21" s="4">
        <f t="shared" si="0"/>
        <v>-25.6</v>
      </c>
      <c r="H21" s="4" t="str">
        <f t="shared" si="1"/>
        <v>Decline</v>
      </c>
      <c r="I21" t="str">
        <f t="shared" si="7"/>
        <v>61-70</v>
      </c>
      <c r="J21" t="str">
        <f t="shared" si="6"/>
        <v>4-6</v>
      </c>
      <c r="K21" t="str">
        <f t="shared" si="2"/>
        <v>Fail</v>
      </c>
      <c r="L21" t="str">
        <f t="shared" si="3"/>
        <v>Fail</v>
      </c>
      <c r="M21" t="str">
        <f t="shared" si="4"/>
        <v>Increase</v>
      </c>
    </row>
    <row r="22" spans="1:17" ht="14.4" x14ac:dyDescent="0.3">
      <c r="A22" t="s">
        <v>20</v>
      </c>
      <c r="B22" s="4">
        <v>9.9</v>
      </c>
      <c r="C22" s="4">
        <v>10.9</v>
      </c>
      <c r="D22" s="4">
        <v>70.7</v>
      </c>
      <c r="E22" s="4">
        <v>84</v>
      </c>
      <c r="F22" s="4">
        <v>46</v>
      </c>
      <c r="G22" s="4">
        <f t="shared" si="0"/>
        <v>-38</v>
      </c>
      <c r="H22" s="4" t="str">
        <f t="shared" si="1"/>
        <v>Decline</v>
      </c>
      <c r="I22" t="str">
        <f t="shared" si="7"/>
        <v>61-70</v>
      </c>
      <c r="J22" t="str">
        <f t="shared" si="6"/>
        <v>10-12</v>
      </c>
      <c r="K22" t="str">
        <f t="shared" si="2"/>
        <v>Pass</v>
      </c>
      <c r="L22" t="str">
        <f t="shared" si="3"/>
        <v>Pass</v>
      </c>
      <c r="M22" t="str">
        <f t="shared" si="4"/>
        <v>Increase</v>
      </c>
    </row>
    <row r="23" spans="1:17" ht="14.4" x14ac:dyDescent="0.3">
      <c r="A23" t="s">
        <v>21</v>
      </c>
      <c r="B23" s="4">
        <v>8.6999999999999993</v>
      </c>
      <c r="C23" s="4">
        <v>9.6999999999999993</v>
      </c>
      <c r="D23" s="4">
        <v>81.5</v>
      </c>
      <c r="E23" s="4">
        <v>55</v>
      </c>
      <c r="F23" s="4">
        <v>36.1</v>
      </c>
      <c r="G23" s="4">
        <f t="shared" si="0"/>
        <v>-18.899999999999999</v>
      </c>
      <c r="H23" s="4" t="str">
        <f t="shared" si="1"/>
        <v>Decline</v>
      </c>
      <c r="I23" t="str">
        <f t="shared" si="7"/>
        <v>81-90</v>
      </c>
      <c r="J23" t="str">
        <f t="shared" si="6"/>
        <v>7-9</v>
      </c>
      <c r="K23" t="str">
        <f t="shared" si="2"/>
        <v>Fail</v>
      </c>
      <c r="L23" t="str">
        <f t="shared" si="3"/>
        <v>Pass</v>
      </c>
      <c r="M23" t="str">
        <f t="shared" si="4"/>
        <v>Increase</v>
      </c>
    </row>
    <row r="24" spans="1:17" ht="14.4" x14ac:dyDescent="0.3">
      <c r="A24" t="s">
        <v>22</v>
      </c>
      <c r="B24" s="4">
        <v>4.7</v>
      </c>
      <c r="C24" s="4">
        <v>5.7</v>
      </c>
      <c r="D24" s="4">
        <v>59.7</v>
      </c>
      <c r="E24" s="4">
        <v>59</v>
      </c>
      <c r="F24" s="4">
        <v>29.6</v>
      </c>
      <c r="G24" s="4">
        <f t="shared" si="0"/>
        <v>-29.4</v>
      </c>
      <c r="H24" s="4" t="str">
        <f t="shared" si="1"/>
        <v>Decline</v>
      </c>
      <c r="I24" t="str">
        <f t="shared" si="7"/>
        <v>50-60</v>
      </c>
      <c r="J24" t="str">
        <f t="shared" si="6"/>
        <v>4-6</v>
      </c>
      <c r="K24" t="str">
        <f t="shared" si="2"/>
        <v>Fail</v>
      </c>
      <c r="L24" t="str">
        <f t="shared" si="3"/>
        <v>Pass</v>
      </c>
      <c r="M24" t="str">
        <f t="shared" si="4"/>
        <v>Increase</v>
      </c>
    </row>
    <row r="25" spans="1:17" ht="14.4" x14ac:dyDescent="0.3">
      <c r="A25" t="s">
        <v>106</v>
      </c>
      <c r="B25" s="4">
        <v>2.2000000000000002</v>
      </c>
      <c r="C25" s="4">
        <v>3.2</v>
      </c>
      <c r="D25" s="4">
        <v>56.8</v>
      </c>
      <c r="E25" s="4">
        <v>80</v>
      </c>
      <c r="F25" s="4">
        <v>23.7</v>
      </c>
      <c r="G25" s="4">
        <f t="shared" si="0"/>
        <v>-56.3</v>
      </c>
      <c r="H25" s="4" t="str">
        <f t="shared" si="1"/>
        <v>Decline</v>
      </c>
      <c r="I25" t="str">
        <f t="shared" si="7"/>
        <v>50-60</v>
      </c>
      <c r="J25" t="str">
        <f t="shared" si="6"/>
        <v>1-3</v>
      </c>
      <c r="K25" t="str">
        <f t="shared" si="2"/>
        <v>Fail</v>
      </c>
      <c r="L25" t="str">
        <f t="shared" si="3"/>
        <v>Pass</v>
      </c>
      <c r="M25" t="str">
        <f t="shared" si="4"/>
        <v>Increase</v>
      </c>
    </row>
    <row r="26" spans="1:17" ht="14.4" x14ac:dyDescent="0.3">
      <c r="A26" t="s">
        <v>24</v>
      </c>
      <c r="B26" s="4">
        <v>11.5</v>
      </c>
      <c r="C26" s="4">
        <v>12.5</v>
      </c>
      <c r="D26" s="4">
        <v>74.7</v>
      </c>
      <c r="E26" s="4">
        <v>77</v>
      </c>
      <c r="F26" s="4">
        <v>39.200000000000003</v>
      </c>
      <c r="G26" s="4">
        <f t="shared" si="0"/>
        <v>-37.799999999999997</v>
      </c>
      <c r="H26" s="4" t="str">
        <f t="shared" si="1"/>
        <v>Decline</v>
      </c>
      <c r="I26" t="str">
        <f t="shared" si="7"/>
        <v>71-80</v>
      </c>
      <c r="J26" t="str">
        <f t="shared" si="6"/>
        <v>10-12</v>
      </c>
      <c r="K26" t="str">
        <f t="shared" si="2"/>
        <v>Fail</v>
      </c>
      <c r="L26" t="str">
        <f t="shared" si="3"/>
        <v>Pass</v>
      </c>
      <c r="M26" t="str">
        <f t="shared" si="4"/>
        <v>Increase</v>
      </c>
    </row>
    <row r="27" spans="1:17" ht="14.4" x14ac:dyDescent="0.3">
      <c r="A27" t="s">
        <v>25</v>
      </c>
      <c r="B27" s="4">
        <v>4.7</v>
      </c>
      <c r="C27" s="4">
        <v>5.7</v>
      </c>
      <c r="D27" s="4">
        <v>62.2</v>
      </c>
      <c r="E27" s="4">
        <v>63</v>
      </c>
      <c r="F27" s="4">
        <v>30</v>
      </c>
      <c r="G27" s="4">
        <f t="shared" si="0"/>
        <v>-33</v>
      </c>
      <c r="H27" s="4" t="str">
        <f t="shared" si="1"/>
        <v>Decline</v>
      </c>
      <c r="I27" t="str">
        <f t="shared" si="7"/>
        <v>61-70</v>
      </c>
      <c r="J27" t="str">
        <f t="shared" si="6"/>
        <v>4-6</v>
      </c>
      <c r="K27" t="str">
        <f t="shared" si="2"/>
        <v>Fail</v>
      </c>
      <c r="L27" t="str">
        <f t="shared" si="3"/>
        <v>Pass</v>
      </c>
      <c r="M27" t="str">
        <f t="shared" si="4"/>
        <v>Increase</v>
      </c>
    </row>
    <row r="28" spans="1:17" ht="14.4" x14ac:dyDescent="0.3">
      <c r="A28" t="s">
        <v>89</v>
      </c>
      <c r="B28" s="4">
        <v>1.5</v>
      </c>
      <c r="C28" s="4">
        <v>2.5</v>
      </c>
      <c r="D28" s="4">
        <v>80.2</v>
      </c>
      <c r="E28" s="4">
        <v>58</v>
      </c>
      <c r="F28" s="4">
        <v>23.9</v>
      </c>
      <c r="G28" s="4">
        <f t="shared" si="0"/>
        <v>-34.1</v>
      </c>
      <c r="H28" s="4" t="str">
        <f t="shared" si="1"/>
        <v>Decline</v>
      </c>
      <c r="I28" t="str">
        <f t="shared" si="7"/>
        <v>71-80</v>
      </c>
      <c r="J28" t="str">
        <f t="shared" si="6"/>
        <v>1-3</v>
      </c>
      <c r="K28" t="str">
        <f t="shared" si="2"/>
        <v>Fail</v>
      </c>
      <c r="L28" t="str">
        <f t="shared" si="3"/>
        <v>Pass</v>
      </c>
      <c r="M28" t="str">
        <f t="shared" si="4"/>
        <v>Increase</v>
      </c>
    </row>
    <row r="29" spans="1:17" ht="14.4" x14ac:dyDescent="0.3">
      <c r="A29" t="s">
        <v>9</v>
      </c>
      <c r="B29" s="4">
        <v>1.3</v>
      </c>
      <c r="C29" s="4">
        <v>2.2999999999999998</v>
      </c>
      <c r="D29" s="4">
        <v>66.8</v>
      </c>
      <c r="E29" s="4">
        <v>70</v>
      </c>
      <c r="F29" s="4">
        <v>24.7</v>
      </c>
      <c r="G29" s="4">
        <f t="shared" si="0"/>
        <v>-45.3</v>
      </c>
      <c r="H29" s="4" t="str">
        <f t="shared" si="1"/>
        <v>Decline</v>
      </c>
      <c r="I29" t="str">
        <f t="shared" si="7"/>
        <v>61-70</v>
      </c>
      <c r="J29" t="str">
        <f t="shared" si="6"/>
        <v>1-3</v>
      </c>
      <c r="K29" t="str">
        <f t="shared" si="2"/>
        <v>Fail</v>
      </c>
      <c r="L29" t="str">
        <f t="shared" si="3"/>
        <v>Pass</v>
      </c>
      <c r="M29" t="str">
        <f t="shared" si="4"/>
        <v>Increase</v>
      </c>
    </row>
    <row r="30" spans="1:17" ht="14.4" x14ac:dyDescent="0.3">
      <c r="A30" t="s">
        <v>28</v>
      </c>
      <c r="B30" s="4">
        <v>10.3</v>
      </c>
      <c r="C30" s="4">
        <v>11.3</v>
      </c>
      <c r="D30" s="4">
        <v>87.5</v>
      </c>
      <c r="E30" s="4">
        <v>73</v>
      </c>
      <c r="F30" s="4">
        <v>37.200000000000003</v>
      </c>
      <c r="G30" s="4">
        <f t="shared" si="0"/>
        <v>-35.799999999999997</v>
      </c>
      <c r="H30" s="4" t="str">
        <f t="shared" si="1"/>
        <v>Decline</v>
      </c>
      <c r="I30" t="str">
        <f t="shared" si="7"/>
        <v>81-90</v>
      </c>
      <c r="J30" t="str">
        <f t="shared" si="6"/>
        <v>10-12</v>
      </c>
      <c r="K30" t="str">
        <f t="shared" si="2"/>
        <v>Fail</v>
      </c>
      <c r="L30" t="str">
        <f t="shared" si="3"/>
        <v>Pass</v>
      </c>
      <c r="M30" t="str">
        <f t="shared" si="4"/>
        <v>Increase</v>
      </c>
    </row>
    <row r="31" spans="1:17" ht="14.4" x14ac:dyDescent="0.3">
      <c r="A31" t="s">
        <v>29</v>
      </c>
      <c r="B31" s="4">
        <v>7.6</v>
      </c>
      <c r="C31" s="4">
        <v>8.6</v>
      </c>
      <c r="D31" s="4">
        <v>88.5</v>
      </c>
      <c r="E31" s="4">
        <v>62</v>
      </c>
      <c r="F31" s="4">
        <v>36.200000000000003</v>
      </c>
      <c r="G31" s="4">
        <f t="shared" si="0"/>
        <v>-25.799999999999997</v>
      </c>
      <c r="H31" s="4" t="str">
        <f t="shared" si="1"/>
        <v>Decline</v>
      </c>
      <c r="I31" t="str">
        <f t="shared" si="7"/>
        <v>81-90</v>
      </c>
      <c r="J31" t="str">
        <f t="shared" si="6"/>
        <v>7-9</v>
      </c>
      <c r="K31" t="str">
        <f t="shared" si="2"/>
        <v>Fail</v>
      </c>
      <c r="L31" t="str">
        <f t="shared" si="3"/>
        <v>Pass</v>
      </c>
      <c r="M31" t="str">
        <f t="shared" si="4"/>
        <v>Increase</v>
      </c>
    </row>
    <row r="32" spans="1:17" ht="14.4" x14ac:dyDescent="0.3">
      <c r="A32" t="s">
        <v>30</v>
      </c>
      <c r="B32" s="4">
        <v>9.9</v>
      </c>
      <c r="C32" s="4">
        <v>10.9</v>
      </c>
      <c r="D32" s="4">
        <v>55.3</v>
      </c>
      <c r="E32" s="4">
        <v>67</v>
      </c>
      <c r="F32" s="4">
        <v>34.5</v>
      </c>
      <c r="G32" s="4">
        <f t="shared" si="0"/>
        <v>-32.5</v>
      </c>
      <c r="H32" s="4" t="str">
        <f t="shared" si="1"/>
        <v>Decline</v>
      </c>
      <c r="I32" t="str">
        <f t="shared" si="7"/>
        <v>50-60</v>
      </c>
      <c r="J32" t="str">
        <f t="shared" si="6"/>
        <v>10-12</v>
      </c>
      <c r="K32" t="str">
        <f t="shared" si="2"/>
        <v>Fail</v>
      </c>
      <c r="L32" t="str">
        <f t="shared" si="3"/>
        <v>Pass</v>
      </c>
      <c r="M32" t="str">
        <f t="shared" si="4"/>
        <v>Increase</v>
      </c>
    </row>
    <row r="33" spans="1:13" ht="14.4" x14ac:dyDescent="0.3">
      <c r="A33" t="s">
        <v>31</v>
      </c>
      <c r="B33" s="4">
        <v>9</v>
      </c>
      <c r="C33" s="4">
        <v>10</v>
      </c>
      <c r="D33" s="4">
        <v>71.3</v>
      </c>
      <c r="E33" s="4">
        <v>87</v>
      </c>
      <c r="F33" s="4">
        <v>41.6</v>
      </c>
      <c r="G33" s="4">
        <f t="shared" si="0"/>
        <v>-45.4</v>
      </c>
      <c r="H33" s="4" t="str">
        <f t="shared" si="1"/>
        <v>Decline</v>
      </c>
      <c r="I33" t="str">
        <f t="shared" si="7"/>
        <v>71-80</v>
      </c>
      <c r="J33" t="str">
        <f t="shared" si="6"/>
        <v>10-12</v>
      </c>
      <c r="K33" t="str">
        <f t="shared" si="2"/>
        <v>Pass</v>
      </c>
      <c r="L33" t="str">
        <f t="shared" si="3"/>
        <v>Pass</v>
      </c>
      <c r="M33" t="str">
        <f t="shared" si="4"/>
        <v>Increase</v>
      </c>
    </row>
    <row r="34" spans="1:13" ht="14.4" x14ac:dyDescent="0.3">
      <c r="A34" t="s">
        <v>32</v>
      </c>
      <c r="B34" s="4">
        <v>6.9</v>
      </c>
      <c r="C34" s="4">
        <v>7.9</v>
      </c>
      <c r="D34" s="4">
        <v>58.8</v>
      </c>
      <c r="E34" s="4">
        <v>75</v>
      </c>
      <c r="F34" s="4">
        <v>38.1</v>
      </c>
      <c r="G34" s="4">
        <f t="shared" ref="G34:G65" si="8">F34-E34</f>
        <v>-36.9</v>
      </c>
      <c r="H34" s="4" t="str">
        <f t="shared" si="1"/>
        <v>Decline</v>
      </c>
      <c r="I34" t="str">
        <f t="shared" si="7"/>
        <v>50-60</v>
      </c>
      <c r="J34" t="str">
        <f t="shared" si="6"/>
        <v>7-9</v>
      </c>
      <c r="K34" t="str">
        <f t="shared" ref="K34:K65" si="9">IF($F$2:$F$201&gt;=40,"Pass","Fail")</f>
        <v>Fail</v>
      </c>
      <c r="L34" t="str">
        <f t="shared" ref="L34:L65" si="10">IF($E$2:$E$201&gt;=50,"Pass","Fail")</f>
        <v>Pass</v>
      </c>
      <c r="M34" t="str">
        <f t="shared" ref="M34:M65" si="11">IF(AND(B34&gt;C34),"Decrease","Increase")</f>
        <v>Increase</v>
      </c>
    </row>
    <row r="35" spans="1:13" ht="14.4" x14ac:dyDescent="0.3">
      <c r="A35" t="s">
        <v>33</v>
      </c>
      <c r="B35" s="4">
        <v>11.7</v>
      </c>
      <c r="C35" s="4">
        <v>12.7</v>
      </c>
      <c r="D35" s="4">
        <v>97.9</v>
      </c>
      <c r="E35" s="4">
        <v>61</v>
      </c>
      <c r="F35" s="4">
        <v>42.7</v>
      </c>
      <c r="G35" s="4">
        <f t="shared" si="8"/>
        <v>-18.299999999999997</v>
      </c>
      <c r="H35" s="4" t="str">
        <f t="shared" si="1"/>
        <v>Decline</v>
      </c>
      <c r="I35" t="str">
        <f t="shared" si="7"/>
        <v>91-100</v>
      </c>
      <c r="J35" t="str">
        <f t="shared" si="6"/>
        <v>10-12</v>
      </c>
      <c r="K35" t="str">
        <f t="shared" si="9"/>
        <v>Pass</v>
      </c>
      <c r="L35" t="str">
        <f t="shared" si="10"/>
        <v>Pass</v>
      </c>
      <c r="M35" t="str">
        <f t="shared" si="11"/>
        <v>Increase</v>
      </c>
    </row>
    <row r="36" spans="1:13" ht="14.4" x14ac:dyDescent="0.3">
      <c r="A36" t="s">
        <v>34</v>
      </c>
      <c r="B36" s="4">
        <v>5.2</v>
      </c>
      <c r="C36" s="4">
        <v>6.2</v>
      </c>
      <c r="D36" s="4">
        <v>75.900000000000006</v>
      </c>
      <c r="E36" s="4">
        <v>62</v>
      </c>
      <c r="F36" s="4">
        <v>32</v>
      </c>
      <c r="G36" s="4">
        <f t="shared" si="8"/>
        <v>-30</v>
      </c>
      <c r="H36" s="4" t="str">
        <f t="shared" si="1"/>
        <v>Decline</v>
      </c>
      <c r="I36" t="str">
        <f t="shared" si="7"/>
        <v>71-80</v>
      </c>
      <c r="J36" t="str">
        <f t="shared" si="6"/>
        <v>4-6</v>
      </c>
      <c r="K36" t="str">
        <f t="shared" si="9"/>
        <v>Fail</v>
      </c>
      <c r="L36" t="str">
        <f t="shared" si="10"/>
        <v>Pass</v>
      </c>
      <c r="M36" t="str">
        <f t="shared" si="11"/>
        <v>Increase</v>
      </c>
    </row>
    <row r="37" spans="1:13" ht="14.4" x14ac:dyDescent="0.3">
      <c r="A37" t="s">
        <v>35</v>
      </c>
      <c r="B37" s="4">
        <v>7.1</v>
      </c>
      <c r="C37" s="4">
        <v>8.1</v>
      </c>
      <c r="D37" s="4">
        <v>52.5</v>
      </c>
      <c r="E37" s="4">
        <v>84</v>
      </c>
      <c r="F37" s="4">
        <v>32</v>
      </c>
      <c r="G37" s="4">
        <f t="shared" si="8"/>
        <v>-52</v>
      </c>
      <c r="H37" s="4" t="str">
        <f t="shared" ref="H37:H66" si="12">IF(G37&lt;0,"Decline","improved")</f>
        <v>Decline</v>
      </c>
      <c r="I37" t="str">
        <f t="shared" si="7"/>
        <v>50-60</v>
      </c>
      <c r="J37" t="str">
        <f t="shared" si="6"/>
        <v>7-9</v>
      </c>
      <c r="K37" t="str">
        <f t="shared" si="9"/>
        <v>Fail</v>
      </c>
      <c r="L37" t="str">
        <f t="shared" si="10"/>
        <v>Pass</v>
      </c>
      <c r="M37" t="str">
        <f t="shared" si="11"/>
        <v>Increase</v>
      </c>
    </row>
    <row r="38" spans="1:13" ht="14.4" x14ac:dyDescent="0.3">
      <c r="A38" t="s">
        <v>36</v>
      </c>
      <c r="B38" s="4">
        <v>10.1</v>
      </c>
      <c r="C38" s="4">
        <v>11.1</v>
      </c>
      <c r="D38" s="4">
        <v>62.5</v>
      </c>
      <c r="E38" s="4">
        <v>69</v>
      </c>
      <c r="F38" s="4">
        <v>44.7</v>
      </c>
      <c r="G38" s="4">
        <f t="shared" si="8"/>
        <v>-24.299999999999997</v>
      </c>
      <c r="H38" s="4" t="str">
        <f t="shared" si="12"/>
        <v>Decline</v>
      </c>
      <c r="I38" t="str">
        <f t="shared" si="7"/>
        <v>61-70</v>
      </c>
      <c r="J38" t="str">
        <f t="shared" si="6"/>
        <v>10-12</v>
      </c>
      <c r="K38" t="str">
        <f t="shared" si="9"/>
        <v>Pass</v>
      </c>
      <c r="L38" t="str">
        <f t="shared" si="10"/>
        <v>Pass</v>
      </c>
      <c r="M38" t="str">
        <f t="shared" si="11"/>
        <v>Increase</v>
      </c>
    </row>
    <row r="39" spans="1:13" ht="14.4" x14ac:dyDescent="0.3">
      <c r="A39" t="s">
        <v>37</v>
      </c>
      <c r="B39" s="4">
        <v>7.8</v>
      </c>
      <c r="C39" s="4">
        <v>8.8000000000000007</v>
      </c>
      <c r="D39" s="4">
        <v>92.4</v>
      </c>
      <c r="E39" s="4">
        <v>57</v>
      </c>
      <c r="F39" s="4">
        <v>38.299999999999997</v>
      </c>
      <c r="G39" s="4">
        <f t="shared" si="8"/>
        <v>-18.700000000000003</v>
      </c>
      <c r="H39" s="4" t="str">
        <f t="shared" si="12"/>
        <v>Decline</v>
      </c>
      <c r="I39" t="str">
        <f t="shared" si="7"/>
        <v>91-100</v>
      </c>
      <c r="J39" t="str">
        <f t="shared" ref="J39:J70" si="13">IF(AND(C39&gt;=1,C39&lt;=3.9),"1-3",IF(AND(C39&gt;=4,C39&lt;=6.9),"4-6",IF(AND(C39&gt;=7,C39&lt;=9.9),"7-9",IF(AND(C39&gt;=10,C39&lt;=12.9),"10-12",IF(AND(C39&gt;=13,C39&lt;=14),"13-14")))))</f>
        <v>7-9</v>
      </c>
      <c r="K39" t="str">
        <f t="shared" si="9"/>
        <v>Fail</v>
      </c>
      <c r="L39" t="str">
        <f t="shared" si="10"/>
        <v>Pass</v>
      </c>
      <c r="M39" t="str">
        <f t="shared" si="11"/>
        <v>Increase</v>
      </c>
    </row>
    <row r="40" spans="1:13" ht="14.4" x14ac:dyDescent="0.3">
      <c r="A40" t="s">
        <v>38</v>
      </c>
      <c r="B40" s="4">
        <v>10.5</v>
      </c>
      <c r="C40" s="4">
        <v>11.5</v>
      </c>
      <c r="D40" s="4">
        <v>72.8</v>
      </c>
      <c r="E40" s="4">
        <v>59</v>
      </c>
      <c r="F40" s="4">
        <v>39.799999999999997</v>
      </c>
      <c r="G40" s="4">
        <f t="shared" si="8"/>
        <v>-19.200000000000003</v>
      </c>
      <c r="H40" s="4" t="str">
        <f t="shared" si="12"/>
        <v>Decline</v>
      </c>
      <c r="I40" t="str">
        <f t="shared" si="7"/>
        <v>71-80</v>
      </c>
      <c r="J40" t="str">
        <f t="shared" si="13"/>
        <v>10-12</v>
      </c>
      <c r="K40" t="str">
        <f t="shared" si="9"/>
        <v>Fail</v>
      </c>
      <c r="L40" t="str">
        <f t="shared" si="10"/>
        <v>Pass</v>
      </c>
      <c r="M40" t="str">
        <f t="shared" si="11"/>
        <v>Increase</v>
      </c>
    </row>
    <row r="41" spans="1:13" ht="14.4" x14ac:dyDescent="0.3">
      <c r="A41" t="s">
        <v>39</v>
      </c>
      <c r="B41" s="4">
        <v>7.4</v>
      </c>
      <c r="C41" s="4">
        <v>8.4</v>
      </c>
      <c r="D41" s="4">
        <v>90.1</v>
      </c>
      <c r="E41" s="4">
        <v>56</v>
      </c>
      <c r="F41" s="4">
        <v>35</v>
      </c>
      <c r="G41" s="4">
        <f t="shared" si="8"/>
        <v>-21</v>
      </c>
      <c r="H41" s="4" t="str">
        <f t="shared" si="12"/>
        <v>Decline</v>
      </c>
      <c r="I41" t="str">
        <f t="shared" si="7"/>
        <v>81-90</v>
      </c>
      <c r="J41" t="str">
        <f t="shared" si="13"/>
        <v>7-9</v>
      </c>
      <c r="K41" t="str">
        <f t="shared" si="9"/>
        <v>Fail</v>
      </c>
      <c r="L41" t="str">
        <f t="shared" si="10"/>
        <v>Pass</v>
      </c>
      <c r="M41" t="str">
        <f t="shared" si="11"/>
        <v>Increase</v>
      </c>
    </row>
    <row r="42" spans="1:13" ht="14.4" x14ac:dyDescent="0.3">
      <c r="A42" t="s">
        <v>40</v>
      </c>
      <c r="B42" s="4">
        <v>8.8000000000000007</v>
      </c>
      <c r="C42" s="4">
        <v>9.8000000000000007</v>
      </c>
      <c r="D42" s="4">
        <v>83.4</v>
      </c>
      <c r="E42" s="4">
        <v>54</v>
      </c>
      <c r="F42" s="4">
        <v>34.200000000000003</v>
      </c>
      <c r="G42" s="4">
        <f t="shared" si="8"/>
        <v>-19.799999999999997</v>
      </c>
      <c r="H42" s="4" t="str">
        <f t="shared" si="12"/>
        <v>Decline</v>
      </c>
      <c r="I42" t="str">
        <f t="shared" si="7"/>
        <v>81-90</v>
      </c>
      <c r="J42" t="str">
        <f t="shared" si="13"/>
        <v>7-9</v>
      </c>
      <c r="K42" t="str">
        <f t="shared" si="9"/>
        <v>Fail</v>
      </c>
      <c r="L42" t="str">
        <f t="shared" si="10"/>
        <v>Pass</v>
      </c>
      <c r="M42" t="str">
        <f t="shared" si="11"/>
        <v>Increase</v>
      </c>
    </row>
    <row r="43" spans="1:13" ht="14.4" x14ac:dyDescent="0.3">
      <c r="A43" t="s">
        <v>159</v>
      </c>
      <c r="B43" s="4">
        <v>3.4</v>
      </c>
      <c r="C43" s="4">
        <v>4.4000000000000004</v>
      </c>
      <c r="D43" s="4">
        <v>67.400000000000006</v>
      </c>
      <c r="E43" s="4">
        <v>70</v>
      </c>
      <c r="F43" s="4">
        <v>24.7</v>
      </c>
      <c r="G43" s="4">
        <f t="shared" si="8"/>
        <v>-45.3</v>
      </c>
      <c r="H43" s="4" t="str">
        <f t="shared" si="12"/>
        <v>Decline</v>
      </c>
      <c r="I43" t="str">
        <f t="shared" si="7"/>
        <v>61-70</v>
      </c>
      <c r="J43" t="str">
        <f t="shared" si="13"/>
        <v>4-6</v>
      </c>
      <c r="K43" t="str">
        <f t="shared" si="9"/>
        <v>Fail</v>
      </c>
      <c r="L43" t="str">
        <f t="shared" si="10"/>
        <v>Pass</v>
      </c>
      <c r="M43" t="str">
        <f t="shared" si="11"/>
        <v>Increase</v>
      </c>
    </row>
    <row r="44" spans="1:13" ht="14.4" x14ac:dyDescent="0.3">
      <c r="A44" t="s">
        <v>42</v>
      </c>
      <c r="B44" s="4">
        <v>3.5</v>
      </c>
      <c r="C44" s="4">
        <v>4.5</v>
      </c>
      <c r="D44" s="4">
        <v>79.8</v>
      </c>
      <c r="E44" s="4">
        <v>86</v>
      </c>
      <c r="F44" s="4">
        <v>37.200000000000003</v>
      </c>
      <c r="G44" s="4">
        <f t="shared" si="8"/>
        <v>-48.8</v>
      </c>
      <c r="H44" s="4" t="str">
        <f t="shared" si="12"/>
        <v>Decline</v>
      </c>
      <c r="I44" t="str">
        <f t="shared" si="7"/>
        <v>71-80</v>
      </c>
      <c r="J44" t="str">
        <f t="shared" si="13"/>
        <v>4-6</v>
      </c>
      <c r="K44" t="str">
        <f t="shared" si="9"/>
        <v>Fail</v>
      </c>
      <c r="L44" t="str">
        <f t="shared" si="10"/>
        <v>Pass</v>
      </c>
      <c r="M44" t="str">
        <f t="shared" si="11"/>
        <v>Increase</v>
      </c>
    </row>
    <row r="45" spans="1:13" ht="14.4" x14ac:dyDescent="0.3">
      <c r="A45" t="s">
        <v>43</v>
      </c>
      <c r="B45" s="4">
        <v>4.2</v>
      </c>
      <c r="C45" s="4">
        <v>5.2</v>
      </c>
      <c r="D45" s="4">
        <v>97.5</v>
      </c>
      <c r="E45" s="4">
        <v>52</v>
      </c>
      <c r="F45" s="4">
        <v>30.3</v>
      </c>
      <c r="G45" s="4">
        <f t="shared" si="8"/>
        <v>-21.7</v>
      </c>
      <c r="H45" s="4" t="str">
        <f t="shared" si="12"/>
        <v>Decline</v>
      </c>
      <c r="I45" t="str">
        <f t="shared" si="7"/>
        <v>91-100</v>
      </c>
      <c r="J45" t="str">
        <f t="shared" si="13"/>
        <v>4-6</v>
      </c>
      <c r="K45" t="str">
        <f t="shared" si="9"/>
        <v>Fail</v>
      </c>
      <c r="L45" t="str">
        <f t="shared" si="10"/>
        <v>Pass</v>
      </c>
      <c r="M45" t="str">
        <f t="shared" si="11"/>
        <v>Increase</v>
      </c>
    </row>
    <row r="46" spans="1:13" ht="14.4" x14ac:dyDescent="0.3">
      <c r="A46" t="s">
        <v>1</v>
      </c>
      <c r="B46" s="4">
        <v>1.3</v>
      </c>
      <c r="C46" s="4">
        <v>2.2999999999999998</v>
      </c>
      <c r="D46" s="4">
        <v>60.7</v>
      </c>
      <c r="E46" s="4">
        <v>55</v>
      </c>
      <c r="F46" s="4">
        <v>25</v>
      </c>
      <c r="G46" s="4">
        <f t="shared" si="8"/>
        <v>-30</v>
      </c>
      <c r="H46" s="4" t="str">
        <f t="shared" si="12"/>
        <v>Decline</v>
      </c>
      <c r="I46" t="str">
        <f t="shared" si="7"/>
        <v>50-60</v>
      </c>
      <c r="J46" t="str">
        <f t="shared" si="13"/>
        <v>1-3</v>
      </c>
      <c r="K46" t="str">
        <f t="shared" si="9"/>
        <v>Fail</v>
      </c>
      <c r="L46" t="str">
        <f t="shared" si="10"/>
        <v>Pass</v>
      </c>
      <c r="M46" t="str">
        <f t="shared" si="11"/>
        <v>Increase</v>
      </c>
    </row>
    <row r="47" spans="1:13" ht="14.4" x14ac:dyDescent="0.3">
      <c r="A47" t="s">
        <v>45</v>
      </c>
      <c r="B47" s="4">
        <v>3.6</v>
      </c>
      <c r="C47" s="4">
        <v>4.5999999999999996</v>
      </c>
      <c r="D47" s="4">
        <v>80.599999999999994</v>
      </c>
      <c r="E47" s="4">
        <v>47</v>
      </c>
      <c r="F47" s="4">
        <v>31.8</v>
      </c>
      <c r="G47" s="4">
        <f t="shared" si="8"/>
        <v>-15.2</v>
      </c>
      <c r="H47" s="4" t="str">
        <f t="shared" si="12"/>
        <v>Decline</v>
      </c>
      <c r="I47" t="str">
        <f t="shared" si="7"/>
        <v>71-80</v>
      </c>
      <c r="J47" t="str">
        <f t="shared" si="13"/>
        <v>4-6</v>
      </c>
      <c r="K47" t="str">
        <f t="shared" si="9"/>
        <v>Fail</v>
      </c>
      <c r="L47" t="str">
        <f t="shared" si="10"/>
        <v>Fail</v>
      </c>
      <c r="M47" t="str">
        <f t="shared" si="11"/>
        <v>Increase</v>
      </c>
    </row>
    <row r="48" spans="1:13" ht="14.4" x14ac:dyDescent="0.3">
      <c r="A48" t="s">
        <v>160</v>
      </c>
      <c r="B48" s="4">
        <v>1.8</v>
      </c>
      <c r="C48" s="4">
        <v>2.8</v>
      </c>
      <c r="D48" s="4">
        <v>71.400000000000006</v>
      </c>
      <c r="E48" s="4">
        <v>58</v>
      </c>
      <c r="F48" s="4">
        <v>25.2</v>
      </c>
      <c r="G48" s="4">
        <f t="shared" si="8"/>
        <v>-32.799999999999997</v>
      </c>
      <c r="H48" s="4" t="str">
        <f t="shared" si="12"/>
        <v>Decline</v>
      </c>
      <c r="I48" t="str">
        <f t="shared" si="7"/>
        <v>71-80</v>
      </c>
      <c r="J48" t="str">
        <f t="shared" si="13"/>
        <v>1-3</v>
      </c>
      <c r="K48" t="str">
        <f t="shared" si="9"/>
        <v>Fail</v>
      </c>
      <c r="L48" t="str">
        <f t="shared" si="10"/>
        <v>Pass</v>
      </c>
      <c r="M48" t="str">
        <f t="shared" si="11"/>
        <v>Increase</v>
      </c>
    </row>
    <row r="49" spans="1:13" ht="14.4" x14ac:dyDescent="0.3">
      <c r="A49" t="s">
        <v>47</v>
      </c>
      <c r="B49" s="4">
        <v>4.0999999999999996</v>
      </c>
      <c r="C49" s="4">
        <v>5.0999999999999996</v>
      </c>
      <c r="D49" s="4">
        <v>75.2</v>
      </c>
      <c r="E49" s="4">
        <v>74</v>
      </c>
      <c r="F49" s="4">
        <v>31.1</v>
      </c>
      <c r="G49" s="4">
        <f t="shared" si="8"/>
        <v>-42.9</v>
      </c>
      <c r="H49" s="4" t="str">
        <f t="shared" si="12"/>
        <v>Decline</v>
      </c>
      <c r="I49" t="str">
        <f t="shared" si="7"/>
        <v>71-80</v>
      </c>
      <c r="J49" t="str">
        <f t="shared" si="13"/>
        <v>4-6</v>
      </c>
      <c r="K49" t="str">
        <f t="shared" si="9"/>
        <v>Fail</v>
      </c>
      <c r="L49" t="str">
        <f t="shared" si="10"/>
        <v>Pass</v>
      </c>
      <c r="M49" t="str">
        <f t="shared" si="11"/>
        <v>Increase</v>
      </c>
    </row>
    <row r="50" spans="1:13" ht="14.4" x14ac:dyDescent="0.3">
      <c r="A50" t="s">
        <v>48</v>
      </c>
      <c r="B50" s="4">
        <v>8</v>
      </c>
      <c r="C50" s="4">
        <v>9</v>
      </c>
      <c r="D50" s="4">
        <v>91.5</v>
      </c>
      <c r="E50" s="4">
        <v>88</v>
      </c>
      <c r="F50" s="4">
        <v>41.2</v>
      </c>
      <c r="G50" s="4">
        <f t="shared" si="8"/>
        <v>-46.8</v>
      </c>
      <c r="H50" s="4" t="str">
        <f t="shared" si="12"/>
        <v>Decline</v>
      </c>
      <c r="I50" t="str">
        <f t="shared" si="7"/>
        <v>91-100</v>
      </c>
      <c r="J50" t="str">
        <f t="shared" si="13"/>
        <v>7-9</v>
      </c>
      <c r="K50" t="str">
        <f t="shared" si="9"/>
        <v>Pass</v>
      </c>
      <c r="L50" t="str">
        <f t="shared" si="10"/>
        <v>Pass</v>
      </c>
      <c r="M50" t="str">
        <f t="shared" si="11"/>
        <v>Increase</v>
      </c>
    </row>
    <row r="51" spans="1:13" ht="14.4" x14ac:dyDescent="0.3">
      <c r="A51" t="s">
        <v>49</v>
      </c>
      <c r="B51" s="4">
        <v>5</v>
      </c>
      <c r="C51" s="4">
        <v>6</v>
      </c>
      <c r="D51" s="4">
        <v>77.400000000000006</v>
      </c>
      <c r="E51" s="4">
        <v>84</v>
      </c>
      <c r="F51" s="4">
        <v>30.6</v>
      </c>
      <c r="G51" s="4">
        <f t="shared" si="8"/>
        <v>-53.4</v>
      </c>
      <c r="H51" s="4" t="str">
        <f t="shared" si="12"/>
        <v>Decline</v>
      </c>
      <c r="I51" t="str">
        <f t="shared" si="7"/>
        <v>71-80</v>
      </c>
      <c r="J51" t="str">
        <f t="shared" si="13"/>
        <v>4-6</v>
      </c>
      <c r="K51" t="str">
        <f t="shared" si="9"/>
        <v>Fail</v>
      </c>
      <c r="L51" t="str">
        <f t="shared" si="10"/>
        <v>Pass</v>
      </c>
      <c r="M51" t="str">
        <f t="shared" si="11"/>
        <v>Increase</v>
      </c>
    </row>
    <row r="52" spans="1:13" ht="14.4" x14ac:dyDescent="0.3">
      <c r="A52" t="s">
        <v>50</v>
      </c>
      <c r="B52" s="4">
        <v>5.0999999999999996</v>
      </c>
      <c r="C52" s="4">
        <v>6.1</v>
      </c>
      <c r="D52" s="4">
        <v>94.9</v>
      </c>
      <c r="E52" s="4">
        <v>51</v>
      </c>
      <c r="F52" s="4">
        <v>28.8</v>
      </c>
      <c r="G52" s="4">
        <f t="shared" si="8"/>
        <v>-22.2</v>
      </c>
      <c r="H52" s="4" t="str">
        <f t="shared" si="12"/>
        <v>Decline</v>
      </c>
      <c r="I52" t="str">
        <f t="shared" si="7"/>
        <v>91-100</v>
      </c>
      <c r="J52" t="str">
        <f t="shared" si="13"/>
        <v>4-6</v>
      </c>
      <c r="K52" t="str">
        <f t="shared" si="9"/>
        <v>Fail</v>
      </c>
      <c r="L52" t="str">
        <f t="shared" si="10"/>
        <v>Pass</v>
      </c>
      <c r="M52" t="str">
        <f t="shared" si="11"/>
        <v>Increase</v>
      </c>
    </row>
    <row r="53" spans="1:13" ht="14.4" x14ac:dyDescent="0.3">
      <c r="A53" t="s">
        <v>44</v>
      </c>
      <c r="B53" s="4">
        <v>1.9</v>
      </c>
      <c r="C53" s="4">
        <v>2.9</v>
      </c>
      <c r="D53" s="4">
        <v>94.6</v>
      </c>
      <c r="E53" s="4">
        <v>60</v>
      </c>
      <c r="F53" s="4">
        <v>26.1</v>
      </c>
      <c r="G53" s="4">
        <f t="shared" si="8"/>
        <v>-33.9</v>
      </c>
      <c r="H53" s="4" t="str">
        <f t="shared" si="12"/>
        <v>Decline</v>
      </c>
      <c r="I53" t="str">
        <f t="shared" si="7"/>
        <v>91-100</v>
      </c>
      <c r="J53" t="str">
        <f t="shared" si="13"/>
        <v>1-3</v>
      </c>
      <c r="K53" t="str">
        <f t="shared" si="9"/>
        <v>Fail</v>
      </c>
      <c r="L53" t="str">
        <f t="shared" si="10"/>
        <v>Pass</v>
      </c>
      <c r="M53" t="str">
        <f t="shared" si="11"/>
        <v>Increase</v>
      </c>
    </row>
    <row r="54" spans="1:13" ht="14.4" x14ac:dyDescent="0.3">
      <c r="A54" t="s">
        <v>52</v>
      </c>
      <c r="B54" s="4">
        <v>3.9</v>
      </c>
      <c r="C54" s="4">
        <v>4.9000000000000004</v>
      </c>
      <c r="D54" s="4">
        <v>73.7</v>
      </c>
      <c r="E54" s="4">
        <v>53</v>
      </c>
      <c r="F54" s="4">
        <v>26.9</v>
      </c>
      <c r="G54" s="4">
        <f t="shared" si="8"/>
        <v>-26.1</v>
      </c>
      <c r="H54" s="4" t="str">
        <f t="shared" si="12"/>
        <v>Decline</v>
      </c>
      <c r="I54" t="str">
        <f t="shared" si="7"/>
        <v>71-80</v>
      </c>
      <c r="J54" t="str">
        <f t="shared" si="13"/>
        <v>4-6</v>
      </c>
      <c r="K54" t="str">
        <f t="shared" si="9"/>
        <v>Fail</v>
      </c>
      <c r="L54" t="str">
        <f t="shared" si="10"/>
        <v>Pass</v>
      </c>
      <c r="M54" t="str">
        <f t="shared" si="11"/>
        <v>Increase</v>
      </c>
    </row>
    <row r="55" spans="1:13" ht="14.4" x14ac:dyDescent="0.3">
      <c r="A55" t="s">
        <v>53</v>
      </c>
      <c r="B55" s="4">
        <v>11.3</v>
      </c>
      <c r="C55" s="4">
        <v>12.3</v>
      </c>
      <c r="D55" s="4">
        <v>63</v>
      </c>
      <c r="E55" s="4">
        <v>87</v>
      </c>
      <c r="F55" s="4">
        <v>46.4</v>
      </c>
      <c r="G55" s="4">
        <f t="shared" si="8"/>
        <v>-40.6</v>
      </c>
      <c r="H55" s="4" t="str">
        <f t="shared" si="12"/>
        <v>Decline</v>
      </c>
      <c r="I55" t="str">
        <f t="shared" si="7"/>
        <v>61-70</v>
      </c>
      <c r="J55" t="str">
        <f t="shared" si="13"/>
        <v>10-12</v>
      </c>
      <c r="K55" t="str">
        <f t="shared" si="9"/>
        <v>Pass</v>
      </c>
      <c r="L55" t="str">
        <f t="shared" si="10"/>
        <v>Pass</v>
      </c>
      <c r="M55" t="str">
        <f t="shared" si="11"/>
        <v>Increase</v>
      </c>
    </row>
    <row r="56" spans="1:13" ht="14.4" x14ac:dyDescent="0.3">
      <c r="A56" t="s">
        <v>54</v>
      </c>
      <c r="B56" s="4">
        <v>8.1</v>
      </c>
      <c r="C56" s="4">
        <v>9.1</v>
      </c>
      <c r="D56" s="4">
        <v>62.4</v>
      </c>
      <c r="E56" s="4">
        <v>70</v>
      </c>
      <c r="F56" s="4">
        <v>34.4</v>
      </c>
      <c r="G56" s="4">
        <f t="shared" si="8"/>
        <v>-35.6</v>
      </c>
      <c r="H56" s="4" t="str">
        <f t="shared" si="12"/>
        <v>Decline</v>
      </c>
      <c r="I56" t="str">
        <f t="shared" si="7"/>
        <v>61-70</v>
      </c>
      <c r="J56" t="str">
        <f t="shared" si="13"/>
        <v>7-9</v>
      </c>
      <c r="K56" t="str">
        <f t="shared" si="9"/>
        <v>Fail</v>
      </c>
      <c r="L56" t="str">
        <f t="shared" si="10"/>
        <v>Pass</v>
      </c>
      <c r="M56" t="str">
        <f t="shared" si="11"/>
        <v>Increase</v>
      </c>
    </row>
    <row r="57" spans="1:13" ht="14.4" x14ac:dyDescent="0.3">
      <c r="A57" t="s">
        <v>55</v>
      </c>
      <c r="B57" s="4">
        <v>7.7</v>
      </c>
      <c r="C57" s="4">
        <v>8.6999999999999993</v>
      </c>
      <c r="D57" s="4">
        <v>81.900000000000006</v>
      </c>
      <c r="E57" s="4">
        <v>57</v>
      </c>
      <c r="F57" s="4">
        <v>37</v>
      </c>
      <c r="G57" s="4">
        <f t="shared" si="8"/>
        <v>-20</v>
      </c>
      <c r="H57" s="4" t="str">
        <f t="shared" si="12"/>
        <v>Decline</v>
      </c>
      <c r="I57" t="str">
        <f t="shared" si="7"/>
        <v>81-90</v>
      </c>
      <c r="J57" t="str">
        <f t="shared" si="13"/>
        <v>7-9</v>
      </c>
      <c r="K57" t="str">
        <f t="shared" si="9"/>
        <v>Fail</v>
      </c>
      <c r="L57" t="str">
        <f t="shared" si="10"/>
        <v>Pass</v>
      </c>
      <c r="M57" t="str">
        <f t="shared" si="11"/>
        <v>Increase</v>
      </c>
    </row>
    <row r="58" spans="1:13" ht="14.4" x14ac:dyDescent="0.3">
      <c r="A58" t="s">
        <v>148</v>
      </c>
      <c r="B58" s="4">
        <v>3.2</v>
      </c>
      <c r="C58" s="4">
        <v>4.2</v>
      </c>
      <c r="D58" s="4">
        <v>85.8</v>
      </c>
      <c r="E58" s="4">
        <v>50</v>
      </c>
      <c r="F58" s="4">
        <v>26.4</v>
      </c>
      <c r="G58" s="4">
        <f t="shared" si="8"/>
        <v>-23.6</v>
      </c>
      <c r="H58" s="4" t="str">
        <f t="shared" si="12"/>
        <v>Decline</v>
      </c>
      <c r="I58" t="str">
        <f t="shared" si="7"/>
        <v>81-90</v>
      </c>
      <c r="J58" t="str">
        <f t="shared" si="13"/>
        <v>4-6</v>
      </c>
      <c r="K58" t="str">
        <f t="shared" si="9"/>
        <v>Fail</v>
      </c>
      <c r="L58" t="str">
        <f t="shared" si="10"/>
        <v>Pass</v>
      </c>
      <c r="M58" t="str">
        <f t="shared" si="11"/>
        <v>Increase</v>
      </c>
    </row>
    <row r="59" spans="1:13" ht="14.4" x14ac:dyDescent="0.3">
      <c r="A59" t="s">
        <v>57</v>
      </c>
      <c r="B59" s="4">
        <v>9</v>
      </c>
      <c r="C59" s="4">
        <v>10</v>
      </c>
      <c r="D59" s="4">
        <v>76.099999999999994</v>
      </c>
      <c r="E59" s="4">
        <v>77</v>
      </c>
      <c r="F59" s="4">
        <v>38.200000000000003</v>
      </c>
      <c r="G59" s="4">
        <f t="shared" si="8"/>
        <v>-38.799999999999997</v>
      </c>
      <c r="H59" s="4" t="str">
        <f t="shared" si="12"/>
        <v>Decline</v>
      </c>
      <c r="I59" t="str">
        <f t="shared" si="7"/>
        <v>71-80</v>
      </c>
      <c r="J59" t="str">
        <f t="shared" si="13"/>
        <v>10-12</v>
      </c>
      <c r="K59" t="str">
        <f t="shared" si="9"/>
        <v>Fail</v>
      </c>
      <c r="L59" t="str">
        <f t="shared" si="10"/>
        <v>Pass</v>
      </c>
      <c r="M59" t="str">
        <f t="shared" si="11"/>
        <v>Increase</v>
      </c>
    </row>
    <row r="60" spans="1:13" ht="14.4" x14ac:dyDescent="0.3">
      <c r="A60" t="s">
        <v>113</v>
      </c>
      <c r="B60" s="4">
        <v>3</v>
      </c>
      <c r="C60" s="4">
        <v>4</v>
      </c>
      <c r="D60" s="4">
        <v>69</v>
      </c>
      <c r="E60" s="4">
        <v>59</v>
      </c>
      <c r="F60" s="4">
        <v>26.4</v>
      </c>
      <c r="G60" s="4">
        <f t="shared" si="8"/>
        <v>-32.6</v>
      </c>
      <c r="H60" s="4" t="str">
        <f t="shared" si="12"/>
        <v>Decline</v>
      </c>
      <c r="I60" t="str">
        <f t="shared" si="7"/>
        <v>61-70</v>
      </c>
      <c r="J60" t="str">
        <f t="shared" si="13"/>
        <v>4-6</v>
      </c>
      <c r="K60" t="str">
        <f t="shared" si="9"/>
        <v>Fail</v>
      </c>
      <c r="L60" t="str">
        <f t="shared" si="10"/>
        <v>Pass</v>
      </c>
      <c r="M60" t="str">
        <f t="shared" si="11"/>
        <v>Increase</v>
      </c>
    </row>
    <row r="61" spans="1:13" ht="14.4" x14ac:dyDescent="0.3">
      <c r="A61" t="s">
        <v>59</v>
      </c>
      <c r="B61" s="4">
        <v>5.2</v>
      </c>
      <c r="C61" s="4">
        <v>6.2</v>
      </c>
      <c r="D61" s="4">
        <v>63.7</v>
      </c>
      <c r="E61" s="4">
        <v>73</v>
      </c>
      <c r="F61" s="4">
        <v>29.2</v>
      </c>
      <c r="G61" s="4">
        <f t="shared" si="8"/>
        <v>-43.8</v>
      </c>
      <c r="H61" s="4" t="str">
        <f t="shared" si="12"/>
        <v>Decline</v>
      </c>
      <c r="I61" t="str">
        <f t="shared" si="7"/>
        <v>61-70</v>
      </c>
      <c r="J61" t="str">
        <f t="shared" si="13"/>
        <v>4-6</v>
      </c>
      <c r="K61" t="str">
        <f t="shared" si="9"/>
        <v>Fail</v>
      </c>
      <c r="L61" t="str">
        <f t="shared" si="10"/>
        <v>Pass</v>
      </c>
      <c r="M61" t="str">
        <f t="shared" si="11"/>
        <v>Increase</v>
      </c>
    </row>
    <row r="62" spans="1:13" ht="14.4" x14ac:dyDescent="0.3">
      <c r="A62" t="s">
        <v>60</v>
      </c>
      <c r="B62" s="4">
        <v>11.9</v>
      </c>
      <c r="C62" s="4">
        <v>12.9</v>
      </c>
      <c r="D62" s="4">
        <v>53.9</v>
      </c>
      <c r="E62" s="4">
        <v>78</v>
      </c>
      <c r="F62" s="4">
        <v>48.6</v>
      </c>
      <c r="G62" s="4">
        <f t="shared" si="8"/>
        <v>-29.4</v>
      </c>
      <c r="H62" s="4" t="str">
        <f t="shared" si="12"/>
        <v>Decline</v>
      </c>
      <c r="I62" t="str">
        <f t="shared" si="7"/>
        <v>50-60</v>
      </c>
      <c r="J62" t="str">
        <f t="shared" si="13"/>
        <v>10-12</v>
      </c>
      <c r="K62" t="str">
        <f t="shared" si="9"/>
        <v>Pass</v>
      </c>
      <c r="L62" t="str">
        <f t="shared" si="10"/>
        <v>Pass</v>
      </c>
      <c r="M62" t="str">
        <f t="shared" si="11"/>
        <v>Increase</v>
      </c>
    </row>
    <row r="63" spans="1:13" ht="14.4" x14ac:dyDescent="0.3">
      <c r="A63" t="s">
        <v>61</v>
      </c>
      <c r="B63" s="4">
        <v>8</v>
      </c>
      <c r="C63" s="4">
        <v>9</v>
      </c>
      <c r="D63" s="4">
        <v>64.3</v>
      </c>
      <c r="E63" s="4">
        <v>58</v>
      </c>
      <c r="F63" s="4">
        <v>36.1</v>
      </c>
      <c r="G63" s="4">
        <f t="shared" si="8"/>
        <v>-21.9</v>
      </c>
      <c r="H63" s="4" t="str">
        <f t="shared" si="12"/>
        <v>Decline</v>
      </c>
      <c r="I63" t="str">
        <f t="shared" si="7"/>
        <v>61-70</v>
      </c>
      <c r="J63" t="str">
        <f t="shared" si="13"/>
        <v>7-9</v>
      </c>
      <c r="K63" t="str">
        <f t="shared" si="9"/>
        <v>Fail</v>
      </c>
      <c r="L63" t="str">
        <f t="shared" si="10"/>
        <v>Pass</v>
      </c>
      <c r="M63" t="str">
        <f t="shared" si="11"/>
        <v>Increase</v>
      </c>
    </row>
    <row r="64" spans="1:13" ht="14.4" x14ac:dyDescent="0.3">
      <c r="A64" t="s">
        <v>62</v>
      </c>
      <c r="B64" s="4">
        <v>7.1</v>
      </c>
      <c r="C64" s="4">
        <v>8.1</v>
      </c>
      <c r="D64" s="4">
        <v>63.6</v>
      </c>
      <c r="E64" s="4">
        <v>46</v>
      </c>
      <c r="F64" s="4">
        <v>27.1</v>
      </c>
      <c r="G64" s="4">
        <f t="shared" si="8"/>
        <v>-18.899999999999999</v>
      </c>
      <c r="H64" s="4" t="str">
        <f t="shared" si="12"/>
        <v>Decline</v>
      </c>
      <c r="I64" t="str">
        <f t="shared" si="7"/>
        <v>61-70</v>
      </c>
      <c r="J64" t="str">
        <f t="shared" si="13"/>
        <v>7-9</v>
      </c>
      <c r="K64" t="str">
        <f t="shared" si="9"/>
        <v>Fail</v>
      </c>
      <c r="L64" t="str">
        <f t="shared" si="10"/>
        <v>Fail</v>
      </c>
      <c r="M64" t="str">
        <f t="shared" si="11"/>
        <v>Increase</v>
      </c>
    </row>
    <row r="65" spans="1:13" ht="14.4" x14ac:dyDescent="0.3">
      <c r="A65" t="s">
        <v>63</v>
      </c>
      <c r="B65" s="4">
        <v>8.5</v>
      </c>
      <c r="C65" s="4">
        <v>9.5</v>
      </c>
      <c r="D65" s="4">
        <v>66</v>
      </c>
      <c r="E65" s="4">
        <v>93</v>
      </c>
      <c r="F65" s="4">
        <v>36.1</v>
      </c>
      <c r="G65" s="4">
        <f t="shared" si="8"/>
        <v>-56.9</v>
      </c>
      <c r="H65" s="4" t="str">
        <f t="shared" si="12"/>
        <v>Decline</v>
      </c>
      <c r="I65" t="str">
        <f t="shared" si="7"/>
        <v>61-70</v>
      </c>
      <c r="J65" t="str">
        <f t="shared" si="13"/>
        <v>7-9</v>
      </c>
      <c r="K65" t="str">
        <f t="shared" si="9"/>
        <v>Fail</v>
      </c>
      <c r="L65" t="str">
        <f t="shared" si="10"/>
        <v>Pass</v>
      </c>
      <c r="M65" t="str">
        <f t="shared" si="11"/>
        <v>Increase</v>
      </c>
    </row>
    <row r="66" spans="1:13" ht="14.4" x14ac:dyDescent="0.3">
      <c r="A66" t="s">
        <v>64</v>
      </c>
      <c r="B66" s="4">
        <v>10.3</v>
      </c>
      <c r="C66" s="4">
        <v>11.3</v>
      </c>
      <c r="D66" s="4">
        <v>77</v>
      </c>
      <c r="E66" s="4">
        <v>52</v>
      </c>
      <c r="F66" s="4">
        <v>39.5</v>
      </c>
      <c r="G66" s="4">
        <f t="shared" ref="G66" si="14">F66-E66</f>
        <v>-12.5</v>
      </c>
      <c r="H66" s="4" t="str">
        <f t="shared" si="12"/>
        <v>Decline</v>
      </c>
      <c r="I66" t="str">
        <f t="shared" si="7"/>
        <v>71-80</v>
      </c>
      <c r="J66" t="str">
        <f t="shared" si="13"/>
        <v>10-12</v>
      </c>
      <c r="K66" t="str">
        <f t="shared" ref="K66:K97" si="15">IF($F$2:$F$201&gt;=40,"Pass","Fail")</f>
        <v>Fail</v>
      </c>
      <c r="L66" t="str">
        <f t="shared" ref="L66:L97" si="16">IF($E$2:$E$201&gt;=50,"Pass","Fail")</f>
        <v>Pass</v>
      </c>
      <c r="M66" t="str">
        <f t="shared" ref="M66:M129" si="17">IF(AND(B66&gt;C66),"Decrease","Increase")</f>
        <v>Increase</v>
      </c>
    </row>
    <row r="67" spans="1:13" ht="14.4" x14ac:dyDescent="0.3">
      <c r="A67" t="s">
        <v>65</v>
      </c>
      <c r="B67" s="4">
        <v>9.5</v>
      </c>
      <c r="C67" s="4">
        <v>10.5</v>
      </c>
      <c r="D67" s="4">
        <v>56.9</v>
      </c>
      <c r="E67" s="4">
        <v>58</v>
      </c>
      <c r="F67" s="4">
        <v>36.700000000000003</v>
      </c>
      <c r="G67" s="4">
        <f t="shared" ref="G67:G130" si="18">F67-E67</f>
        <v>-21.299999999999997</v>
      </c>
      <c r="H67" s="4" t="str">
        <f t="shared" ref="H67:H130" si="19">IF(G67&lt;0,"Decline","improved")</f>
        <v>Decline</v>
      </c>
      <c r="I67" t="str">
        <f t="shared" si="7"/>
        <v>50-60</v>
      </c>
      <c r="J67" t="str">
        <f t="shared" si="13"/>
        <v>10-12</v>
      </c>
      <c r="K67" t="str">
        <f t="shared" si="15"/>
        <v>Fail</v>
      </c>
      <c r="L67" t="str">
        <f t="shared" si="16"/>
        <v>Pass</v>
      </c>
      <c r="M67" t="str">
        <f t="shared" si="17"/>
        <v>Increase</v>
      </c>
    </row>
    <row r="68" spans="1:13" ht="14.4" x14ac:dyDescent="0.3">
      <c r="A68" t="s">
        <v>66</v>
      </c>
      <c r="B68" s="4">
        <v>3.5</v>
      </c>
      <c r="C68" s="4">
        <v>4.5</v>
      </c>
      <c r="D68" s="4">
        <v>61.6</v>
      </c>
      <c r="E68" s="4">
        <v>54</v>
      </c>
      <c r="F68" s="4">
        <v>21.7</v>
      </c>
      <c r="G68" s="4">
        <f t="shared" si="18"/>
        <v>-32.299999999999997</v>
      </c>
      <c r="H68" s="4" t="str">
        <f t="shared" si="19"/>
        <v>Decline</v>
      </c>
      <c r="I68" t="str">
        <f t="shared" si="7"/>
        <v>61-70</v>
      </c>
      <c r="J68" t="str">
        <f t="shared" si="13"/>
        <v>4-6</v>
      </c>
      <c r="K68" t="str">
        <f t="shared" si="15"/>
        <v>Fail</v>
      </c>
      <c r="L68" t="str">
        <f t="shared" si="16"/>
        <v>Pass</v>
      </c>
      <c r="M68" t="str">
        <f t="shared" si="17"/>
        <v>Increase</v>
      </c>
    </row>
    <row r="69" spans="1:13" ht="14.4" x14ac:dyDescent="0.3">
      <c r="A69" t="s">
        <v>85</v>
      </c>
      <c r="B69" s="4">
        <v>3.4</v>
      </c>
      <c r="C69" s="4">
        <v>4.4000000000000004</v>
      </c>
      <c r="D69" s="4">
        <v>97.7</v>
      </c>
      <c r="E69" s="4">
        <v>46</v>
      </c>
      <c r="F69" s="4">
        <v>26.5</v>
      </c>
      <c r="G69" s="4">
        <f t="shared" si="18"/>
        <v>-19.5</v>
      </c>
      <c r="H69" s="4" t="str">
        <f t="shared" si="19"/>
        <v>Decline</v>
      </c>
      <c r="I69" t="str">
        <f t="shared" si="7"/>
        <v>91-100</v>
      </c>
      <c r="J69" t="str">
        <f t="shared" si="13"/>
        <v>4-6</v>
      </c>
      <c r="K69" t="str">
        <f t="shared" si="15"/>
        <v>Fail</v>
      </c>
      <c r="L69" t="str">
        <f t="shared" si="16"/>
        <v>Fail</v>
      </c>
      <c r="M69" t="str">
        <f t="shared" si="17"/>
        <v>Increase</v>
      </c>
    </row>
    <row r="70" spans="1:13" ht="14.4" x14ac:dyDescent="0.3">
      <c r="A70" t="s">
        <v>68</v>
      </c>
      <c r="B70" s="4">
        <v>4.5</v>
      </c>
      <c r="C70" s="4">
        <v>5.5</v>
      </c>
      <c r="D70" s="4">
        <v>85.3</v>
      </c>
      <c r="E70" s="4">
        <v>51</v>
      </c>
      <c r="F70" s="4">
        <v>33.5</v>
      </c>
      <c r="G70" s="4">
        <f t="shared" si="18"/>
        <v>-17.5</v>
      </c>
      <c r="H70" s="4" t="str">
        <f t="shared" si="19"/>
        <v>Decline</v>
      </c>
      <c r="I70" t="str">
        <f t="shared" si="7"/>
        <v>81-90</v>
      </c>
      <c r="J70" t="str">
        <f t="shared" si="13"/>
        <v>4-6</v>
      </c>
      <c r="K70" t="str">
        <f t="shared" si="15"/>
        <v>Fail</v>
      </c>
      <c r="L70" t="str">
        <f t="shared" si="16"/>
        <v>Pass</v>
      </c>
      <c r="M70" t="str">
        <f t="shared" si="17"/>
        <v>Increase</v>
      </c>
    </row>
    <row r="71" spans="1:13" ht="14.4" x14ac:dyDescent="0.3">
      <c r="A71" t="s">
        <v>69</v>
      </c>
      <c r="B71" s="4">
        <v>3.9</v>
      </c>
      <c r="C71" s="4">
        <v>4.9000000000000004</v>
      </c>
      <c r="D71" s="4">
        <v>53.2</v>
      </c>
      <c r="E71" s="4">
        <v>59</v>
      </c>
      <c r="F71" s="4">
        <v>23.9</v>
      </c>
      <c r="G71" s="4">
        <f t="shared" si="18"/>
        <v>-35.1</v>
      </c>
      <c r="H71" s="4" t="str">
        <f t="shared" si="19"/>
        <v>Decline</v>
      </c>
      <c r="I71" t="str">
        <f t="shared" si="7"/>
        <v>50-60</v>
      </c>
      <c r="J71" t="str">
        <f t="shared" ref="J71:J102" si="20">IF(AND(C71&gt;=1,C71&lt;=3.9),"1-3",IF(AND(C71&gt;=4,C71&lt;=6.9),"4-6",IF(AND(C71&gt;=7,C71&lt;=9.9),"7-9",IF(AND(C71&gt;=10,C71&lt;=12.9),"10-12",IF(AND(C71&gt;=13,C71&lt;=14),"13-14")))))</f>
        <v>4-6</v>
      </c>
      <c r="K71" t="str">
        <f t="shared" si="15"/>
        <v>Fail</v>
      </c>
      <c r="L71" t="str">
        <f t="shared" si="16"/>
        <v>Pass</v>
      </c>
      <c r="M71" t="str">
        <f t="shared" si="17"/>
        <v>Increase</v>
      </c>
    </row>
    <row r="72" spans="1:13" ht="14.4" x14ac:dyDescent="0.3">
      <c r="A72" t="s">
        <v>27</v>
      </c>
      <c r="B72" s="4">
        <v>2.1</v>
      </c>
      <c r="C72" s="4">
        <v>3.1</v>
      </c>
      <c r="D72" s="4">
        <v>50.3</v>
      </c>
      <c r="E72" s="4">
        <v>75</v>
      </c>
      <c r="F72" s="4">
        <v>26.5</v>
      </c>
      <c r="G72" s="4">
        <f t="shared" si="18"/>
        <v>-48.5</v>
      </c>
      <c r="H72" s="4" t="str">
        <f t="shared" si="19"/>
        <v>Decline</v>
      </c>
      <c r="I72" t="str">
        <f t="shared" si="7"/>
        <v>50-60</v>
      </c>
      <c r="J72" t="str">
        <f t="shared" si="20"/>
        <v>1-3</v>
      </c>
      <c r="K72" t="str">
        <f t="shared" si="15"/>
        <v>Fail</v>
      </c>
      <c r="L72" t="str">
        <f t="shared" si="16"/>
        <v>Pass</v>
      </c>
      <c r="M72" t="str">
        <f t="shared" si="17"/>
        <v>Increase</v>
      </c>
    </row>
    <row r="73" spans="1:13" ht="14.4" x14ac:dyDescent="0.3">
      <c r="A73" t="s">
        <v>71</v>
      </c>
      <c r="B73" s="4">
        <v>11.4</v>
      </c>
      <c r="C73" s="4">
        <v>12.4</v>
      </c>
      <c r="D73" s="4">
        <v>77.099999999999994</v>
      </c>
      <c r="E73" s="4">
        <v>85</v>
      </c>
      <c r="F73" s="4">
        <v>47.9</v>
      </c>
      <c r="G73" s="4">
        <f t="shared" si="18"/>
        <v>-37.1</v>
      </c>
      <c r="H73" s="4" t="str">
        <f t="shared" si="19"/>
        <v>Decline</v>
      </c>
      <c r="I73" t="str">
        <f t="shared" si="7"/>
        <v>71-80</v>
      </c>
      <c r="J73" t="str">
        <f t="shared" si="20"/>
        <v>10-12</v>
      </c>
      <c r="K73" t="str">
        <f t="shared" si="15"/>
        <v>Pass</v>
      </c>
      <c r="L73" t="str">
        <f t="shared" si="16"/>
        <v>Pass</v>
      </c>
      <c r="M73" t="str">
        <f t="shared" si="17"/>
        <v>Increase</v>
      </c>
    </row>
    <row r="74" spans="1:13" ht="14.4" x14ac:dyDescent="0.3">
      <c r="A74" t="s">
        <v>72</v>
      </c>
      <c r="B74" s="4">
        <v>10.6</v>
      </c>
      <c r="C74" s="4">
        <v>11.6</v>
      </c>
      <c r="D74" s="4">
        <v>70.8</v>
      </c>
      <c r="E74" s="4">
        <v>74</v>
      </c>
      <c r="F74" s="4">
        <v>41.9</v>
      </c>
      <c r="G74" s="4">
        <f t="shared" si="18"/>
        <v>-32.1</v>
      </c>
      <c r="H74" s="4" t="str">
        <f t="shared" si="19"/>
        <v>Decline</v>
      </c>
      <c r="I74" t="str">
        <f t="shared" si="7"/>
        <v>61-70</v>
      </c>
      <c r="J74" t="str">
        <f t="shared" si="20"/>
        <v>10-12</v>
      </c>
      <c r="K74" t="str">
        <f t="shared" si="15"/>
        <v>Pass</v>
      </c>
      <c r="L74" t="str">
        <f t="shared" si="16"/>
        <v>Pass</v>
      </c>
      <c r="M74" t="str">
        <f t="shared" si="17"/>
        <v>Increase</v>
      </c>
    </row>
    <row r="75" spans="1:13" ht="14.4" x14ac:dyDescent="0.3">
      <c r="A75" t="s">
        <v>73</v>
      </c>
      <c r="B75" s="4">
        <v>4.5</v>
      </c>
      <c r="C75" s="4">
        <v>5.5</v>
      </c>
      <c r="D75" s="4">
        <v>60.3</v>
      </c>
      <c r="E75" s="4">
        <v>48</v>
      </c>
      <c r="F75" s="4">
        <v>29.5</v>
      </c>
      <c r="G75" s="4">
        <f t="shared" si="18"/>
        <v>-18.5</v>
      </c>
      <c r="H75" s="4" t="str">
        <f t="shared" si="19"/>
        <v>Decline</v>
      </c>
      <c r="I75" t="str">
        <f t="shared" si="7"/>
        <v>50-60</v>
      </c>
      <c r="J75" t="str">
        <f t="shared" si="20"/>
        <v>4-6</v>
      </c>
      <c r="K75" t="str">
        <f t="shared" si="15"/>
        <v>Fail</v>
      </c>
      <c r="L75" t="str">
        <f t="shared" si="16"/>
        <v>Fail</v>
      </c>
      <c r="M75" t="str">
        <f t="shared" si="17"/>
        <v>Increase</v>
      </c>
    </row>
    <row r="76" spans="1:13" ht="14.4" x14ac:dyDescent="0.3">
      <c r="A76" t="s">
        <v>74</v>
      </c>
      <c r="B76" s="4">
        <v>8.1999999999999993</v>
      </c>
      <c r="C76" s="4">
        <v>9.1999999999999993</v>
      </c>
      <c r="D76" s="4">
        <v>71</v>
      </c>
      <c r="E76" s="4">
        <v>57</v>
      </c>
      <c r="F76" s="4">
        <v>33.5</v>
      </c>
      <c r="G76" s="4">
        <f t="shared" si="18"/>
        <v>-23.5</v>
      </c>
      <c r="H76" s="4" t="str">
        <f t="shared" si="19"/>
        <v>Decline</v>
      </c>
      <c r="I76" t="str">
        <f t="shared" si="7"/>
        <v>71-80</v>
      </c>
      <c r="J76" t="str">
        <f t="shared" si="20"/>
        <v>7-9</v>
      </c>
      <c r="K76" t="str">
        <f t="shared" si="15"/>
        <v>Fail</v>
      </c>
      <c r="L76" t="str">
        <f t="shared" si="16"/>
        <v>Pass</v>
      </c>
      <c r="M76" t="str">
        <f t="shared" si="17"/>
        <v>Increase</v>
      </c>
    </row>
    <row r="77" spans="1:13" ht="14.4" x14ac:dyDescent="0.3">
      <c r="A77" t="s">
        <v>75</v>
      </c>
      <c r="B77" s="4">
        <v>5.4</v>
      </c>
      <c r="C77" s="4">
        <v>6.4</v>
      </c>
      <c r="D77" s="4">
        <v>95.2</v>
      </c>
      <c r="E77" s="4">
        <v>42</v>
      </c>
      <c r="F77" s="4">
        <v>26.3</v>
      </c>
      <c r="G77" s="4">
        <f t="shared" si="18"/>
        <v>-15.7</v>
      </c>
      <c r="H77" s="4" t="str">
        <f t="shared" si="19"/>
        <v>Decline</v>
      </c>
      <c r="I77" t="str">
        <f t="shared" ref="I77:I140" si="21">IF(AND(D77&gt;=50,D77&lt;=60.9),"50-60",IF(AND(D77&gt;=61,D77&lt;=70.9),"61-70",IF(AND(D77&gt;=71,D77&lt;=80.9),"71-80",IF(AND(D77&gt;=81,D77&lt;=90.9),"81-90",IF(AND(D77&gt;=91,D77&lt;=100),"91-100")))))</f>
        <v>91-100</v>
      </c>
      <c r="J77" t="str">
        <f t="shared" si="20"/>
        <v>4-6</v>
      </c>
      <c r="K77" t="str">
        <f t="shared" si="15"/>
        <v>Fail</v>
      </c>
      <c r="L77" t="str">
        <f t="shared" si="16"/>
        <v>Fail</v>
      </c>
      <c r="M77" t="str">
        <f t="shared" si="17"/>
        <v>Increase</v>
      </c>
    </row>
    <row r="78" spans="1:13" ht="14.4" x14ac:dyDescent="0.3">
      <c r="A78" t="s">
        <v>76</v>
      </c>
      <c r="B78" s="4">
        <v>11.1</v>
      </c>
      <c r="C78" s="4">
        <v>12.1</v>
      </c>
      <c r="D78" s="4">
        <v>79.2</v>
      </c>
      <c r="E78" s="4">
        <v>43</v>
      </c>
      <c r="F78" s="4">
        <v>39.9</v>
      </c>
      <c r="G78" s="4">
        <f t="shared" si="18"/>
        <v>-3.1000000000000014</v>
      </c>
      <c r="H78" s="4" t="str">
        <f t="shared" si="19"/>
        <v>Decline</v>
      </c>
      <c r="I78" t="str">
        <f t="shared" si="21"/>
        <v>71-80</v>
      </c>
      <c r="J78" t="str">
        <f t="shared" si="20"/>
        <v>10-12</v>
      </c>
      <c r="K78" t="str">
        <f t="shared" si="15"/>
        <v>Fail</v>
      </c>
      <c r="L78" t="str">
        <f t="shared" si="16"/>
        <v>Fail</v>
      </c>
      <c r="M78" t="str">
        <f t="shared" si="17"/>
        <v>Increase</v>
      </c>
    </row>
    <row r="79" spans="1:13" ht="14.4" x14ac:dyDescent="0.3">
      <c r="A79" t="s">
        <v>77</v>
      </c>
      <c r="B79" s="4">
        <v>6</v>
      </c>
      <c r="C79" s="4">
        <v>7</v>
      </c>
      <c r="D79" s="4">
        <v>84.8</v>
      </c>
      <c r="E79" s="4">
        <v>75</v>
      </c>
      <c r="F79" s="4">
        <v>40.299999999999997</v>
      </c>
      <c r="G79" s="4">
        <f t="shared" si="18"/>
        <v>-34.700000000000003</v>
      </c>
      <c r="H79" s="4" t="str">
        <f t="shared" si="19"/>
        <v>Decline</v>
      </c>
      <c r="I79" t="str">
        <f t="shared" si="21"/>
        <v>81-90</v>
      </c>
      <c r="J79" t="str">
        <f t="shared" si="20"/>
        <v>7-9</v>
      </c>
      <c r="K79" t="str">
        <f t="shared" si="15"/>
        <v>Pass</v>
      </c>
      <c r="L79" t="str">
        <f t="shared" si="16"/>
        <v>Pass</v>
      </c>
      <c r="M79" t="str">
        <f t="shared" si="17"/>
        <v>Increase</v>
      </c>
    </row>
    <row r="80" spans="1:13" ht="14.4" x14ac:dyDescent="0.3">
      <c r="A80" t="s">
        <v>78</v>
      </c>
      <c r="B80" s="4">
        <v>3.9</v>
      </c>
      <c r="C80" s="4">
        <v>4.9000000000000004</v>
      </c>
      <c r="D80" s="4">
        <v>92.8</v>
      </c>
      <c r="E80" s="4">
        <v>58</v>
      </c>
      <c r="F80" s="4">
        <v>26.5</v>
      </c>
      <c r="G80" s="4">
        <f t="shared" si="18"/>
        <v>-31.5</v>
      </c>
      <c r="H80" s="4" t="str">
        <f t="shared" si="19"/>
        <v>Decline</v>
      </c>
      <c r="I80" t="str">
        <f t="shared" si="21"/>
        <v>91-100</v>
      </c>
      <c r="J80" t="str">
        <f t="shared" si="20"/>
        <v>4-6</v>
      </c>
      <c r="K80" t="str">
        <f t="shared" si="15"/>
        <v>Fail</v>
      </c>
      <c r="L80" t="str">
        <f t="shared" si="16"/>
        <v>Pass</v>
      </c>
      <c r="M80" t="str">
        <f t="shared" si="17"/>
        <v>Increase</v>
      </c>
    </row>
    <row r="81" spans="1:13" ht="14.4" x14ac:dyDescent="0.3">
      <c r="A81" t="s">
        <v>79</v>
      </c>
      <c r="B81" s="4">
        <v>3.7</v>
      </c>
      <c r="C81" s="4">
        <v>4.7</v>
      </c>
      <c r="D81" s="4">
        <v>88.3</v>
      </c>
      <c r="E81" s="4">
        <v>84</v>
      </c>
      <c r="F81" s="4">
        <v>34.200000000000003</v>
      </c>
      <c r="G81" s="4">
        <f t="shared" si="18"/>
        <v>-49.8</v>
      </c>
      <c r="H81" s="4" t="str">
        <f t="shared" si="19"/>
        <v>Decline</v>
      </c>
      <c r="I81" t="str">
        <f t="shared" si="21"/>
        <v>81-90</v>
      </c>
      <c r="J81" t="str">
        <f t="shared" si="20"/>
        <v>4-6</v>
      </c>
      <c r="K81" t="str">
        <f t="shared" si="15"/>
        <v>Fail</v>
      </c>
      <c r="L81" t="str">
        <f t="shared" si="16"/>
        <v>Pass</v>
      </c>
      <c r="M81" t="str">
        <f t="shared" si="17"/>
        <v>Increase</v>
      </c>
    </row>
    <row r="82" spans="1:13" ht="14.4" x14ac:dyDescent="0.3">
      <c r="A82" t="s">
        <v>80</v>
      </c>
      <c r="B82" s="4">
        <v>7.2</v>
      </c>
      <c r="C82" s="4">
        <v>8.1999999999999993</v>
      </c>
      <c r="D82" s="4">
        <v>69</v>
      </c>
      <c r="E82" s="4">
        <v>48</v>
      </c>
      <c r="F82" s="4">
        <v>30.8</v>
      </c>
      <c r="G82" s="4">
        <f t="shared" si="18"/>
        <v>-17.2</v>
      </c>
      <c r="H82" s="4" t="str">
        <f t="shared" si="19"/>
        <v>Decline</v>
      </c>
      <c r="I82" t="str">
        <f t="shared" si="21"/>
        <v>61-70</v>
      </c>
      <c r="J82" t="str">
        <f t="shared" si="20"/>
        <v>7-9</v>
      </c>
      <c r="K82" t="str">
        <f t="shared" si="15"/>
        <v>Fail</v>
      </c>
      <c r="L82" t="str">
        <f t="shared" si="16"/>
        <v>Fail</v>
      </c>
      <c r="M82" t="str">
        <f t="shared" si="17"/>
        <v>Increase</v>
      </c>
    </row>
    <row r="83" spans="1:13" ht="14.4" x14ac:dyDescent="0.3">
      <c r="A83" t="s">
        <v>81</v>
      </c>
      <c r="B83" s="4">
        <v>3.9</v>
      </c>
      <c r="C83" s="4">
        <v>4.9000000000000004</v>
      </c>
      <c r="D83" s="4">
        <v>50.3</v>
      </c>
      <c r="E83" s="4">
        <v>80</v>
      </c>
      <c r="F83" s="4">
        <v>32.4</v>
      </c>
      <c r="G83" s="4">
        <f t="shared" si="18"/>
        <v>-47.6</v>
      </c>
      <c r="H83" s="4" t="str">
        <f t="shared" si="19"/>
        <v>Decline</v>
      </c>
      <c r="I83" t="str">
        <f t="shared" si="21"/>
        <v>50-60</v>
      </c>
      <c r="J83" t="str">
        <f t="shared" si="20"/>
        <v>4-6</v>
      </c>
      <c r="K83" t="str">
        <f t="shared" si="15"/>
        <v>Fail</v>
      </c>
      <c r="L83" t="str">
        <f t="shared" si="16"/>
        <v>Pass</v>
      </c>
      <c r="M83" t="str">
        <f t="shared" si="17"/>
        <v>Increase</v>
      </c>
    </row>
    <row r="84" spans="1:13" ht="14.4" x14ac:dyDescent="0.3">
      <c r="A84" t="s">
        <v>82</v>
      </c>
      <c r="B84" s="4">
        <v>7.4</v>
      </c>
      <c r="C84" s="4">
        <v>8.4</v>
      </c>
      <c r="D84" s="4">
        <v>67.599999999999994</v>
      </c>
      <c r="E84" s="4">
        <v>95</v>
      </c>
      <c r="F84" s="4">
        <v>39.799999999999997</v>
      </c>
      <c r="G84" s="4">
        <f t="shared" si="18"/>
        <v>-55.2</v>
      </c>
      <c r="H84" s="4" t="str">
        <f t="shared" si="19"/>
        <v>Decline</v>
      </c>
      <c r="I84" t="str">
        <f t="shared" si="21"/>
        <v>61-70</v>
      </c>
      <c r="J84" t="str">
        <f t="shared" si="20"/>
        <v>7-9</v>
      </c>
      <c r="K84" t="str">
        <f t="shared" si="15"/>
        <v>Fail</v>
      </c>
      <c r="L84" t="str">
        <f t="shared" si="16"/>
        <v>Pass</v>
      </c>
      <c r="M84" t="str">
        <f t="shared" si="17"/>
        <v>Increase</v>
      </c>
    </row>
    <row r="85" spans="1:13" ht="14.4" x14ac:dyDescent="0.3">
      <c r="A85" t="s">
        <v>83</v>
      </c>
      <c r="B85" s="4">
        <v>10.9</v>
      </c>
      <c r="C85" s="4">
        <v>11.9</v>
      </c>
      <c r="D85" s="4">
        <v>87.7</v>
      </c>
      <c r="E85" s="4">
        <v>88</v>
      </c>
      <c r="F85" s="4">
        <v>48.9</v>
      </c>
      <c r="G85" s="4">
        <f t="shared" si="18"/>
        <v>-39.1</v>
      </c>
      <c r="H85" s="4" t="str">
        <f t="shared" si="19"/>
        <v>Decline</v>
      </c>
      <c r="I85" t="str">
        <f t="shared" si="21"/>
        <v>81-90</v>
      </c>
      <c r="J85" t="str">
        <f t="shared" si="20"/>
        <v>10-12</v>
      </c>
      <c r="K85" t="str">
        <f t="shared" si="15"/>
        <v>Pass</v>
      </c>
      <c r="L85" t="str">
        <f t="shared" si="16"/>
        <v>Pass</v>
      </c>
      <c r="M85" t="str">
        <f t="shared" si="17"/>
        <v>Increase</v>
      </c>
    </row>
    <row r="86" spans="1:13" ht="14.4" x14ac:dyDescent="0.3">
      <c r="A86" t="s">
        <v>84</v>
      </c>
      <c r="B86" s="4">
        <v>5.4</v>
      </c>
      <c r="C86" s="4">
        <v>6.4</v>
      </c>
      <c r="D86" s="4">
        <v>92.7</v>
      </c>
      <c r="E86" s="4">
        <v>71</v>
      </c>
      <c r="F86" s="4">
        <v>38</v>
      </c>
      <c r="G86" s="4">
        <f t="shared" si="18"/>
        <v>-33</v>
      </c>
      <c r="H86" s="4" t="str">
        <f t="shared" si="19"/>
        <v>Decline</v>
      </c>
      <c r="I86" t="str">
        <f t="shared" si="21"/>
        <v>91-100</v>
      </c>
      <c r="J86" t="str">
        <f t="shared" si="20"/>
        <v>4-6</v>
      </c>
      <c r="K86" t="str">
        <f t="shared" si="15"/>
        <v>Fail</v>
      </c>
      <c r="L86" t="str">
        <f t="shared" si="16"/>
        <v>Pass</v>
      </c>
      <c r="M86" t="str">
        <f t="shared" si="17"/>
        <v>Increase</v>
      </c>
    </row>
    <row r="87" spans="1:13" ht="14.4" x14ac:dyDescent="0.3">
      <c r="A87" t="s">
        <v>126</v>
      </c>
      <c r="B87" s="4">
        <v>1.2</v>
      </c>
      <c r="C87" s="4">
        <v>2.2000000000000002</v>
      </c>
      <c r="D87" s="4">
        <v>97.5</v>
      </c>
      <c r="E87" s="4">
        <v>73</v>
      </c>
      <c r="F87" s="4">
        <v>26.8</v>
      </c>
      <c r="G87" s="4">
        <f t="shared" si="18"/>
        <v>-46.2</v>
      </c>
      <c r="H87" s="4" t="str">
        <f t="shared" si="19"/>
        <v>Decline</v>
      </c>
      <c r="I87" t="str">
        <f t="shared" si="21"/>
        <v>91-100</v>
      </c>
      <c r="J87" t="str">
        <f t="shared" si="20"/>
        <v>1-3</v>
      </c>
      <c r="K87" t="str">
        <f t="shared" si="15"/>
        <v>Fail</v>
      </c>
      <c r="L87" t="str">
        <f t="shared" si="16"/>
        <v>Pass</v>
      </c>
      <c r="M87" t="str">
        <f t="shared" si="17"/>
        <v>Increase</v>
      </c>
    </row>
    <row r="88" spans="1:13" ht="14.4" x14ac:dyDescent="0.3">
      <c r="A88" t="s">
        <v>86</v>
      </c>
      <c r="B88" s="4">
        <v>12</v>
      </c>
      <c r="C88" s="4">
        <v>13</v>
      </c>
      <c r="D88" s="4">
        <v>71</v>
      </c>
      <c r="E88" s="4">
        <v>95</v>
      </c>
      <c r="F88" s="4">
        <v>51.3</v>
      </c>
      <c r="G88" s="4">
        <f t="shared" si="18"/>
        <v>-43.7</v>
      </c>
      <c r="H88" s="4" t="str">
        <f t="shared" si="19"/>
        <v>Decline</v>
      </c>
      <c r="I88" t="str">
        <f t="shared" si="21"/>
        <v>71-80</v>
      </c>
      <c r="J88" t="str">
        <f t="shared" si="20"/>
        <v>13-14</v>
      </c>
      <c r="K88" t="str">
        <f t="shared" si="15"/>
        <v>Pass</v>
      </c>
      <c r="L88" t="str">
        <f t="shared" si="16"/>
        <v>Pass</v>
      </c>
      <c r="M88" t="str">
        <f t="shared" si="17"/>
        <v>Increase</v>
      </c>
    </row>
    <row r="89" spans="1:13" ht="14.4" x14ac:dyDescent="0.3">
      <c r="A89" t="s">
        <v>87</v>
      </c>
      <c r="B89" s="4">
        <v>6.6</v>
      </c>
      <c r="C89" s="4">
        <v>7.6</v>
      </c>
      <c r="D89" s="4">
        <v>87.4</v>
      </c>
      <c r="E89" s="4">
        <v>40</v>
      </c>
      <c r="F89" s="4">
        <v>28.6</v>
      </c>
      <c r="G89" s="4">
        <f t="shared" si="18"/>
        <v>-11.399999999999999</v>
      </c>
      <c r="H89" s="4" t="str">
        <f t="shared" si="19"/>
        <v>Decline</v>
      </c>
      <c r="I89" t="str">
        <f t="shared" si="21"/>
        <v>81-90</v>
      </c>
      <c r="J89" t="str">
        <f t="shared" si="20"/>
        <v>7-9</v>
      </c>
      <c r="K89" t="str">
        <f t="shared" si="15"/>
        <v>Fail</v>
      </c>
      <c r="L89" t="str">
        <f t="shared" si="16"/>
        <v>Fail</v>
      </c>
      <c r="M89" t="str">
        <f t="shared" si="17"/>
        <v>Increase</v>
      </c>
    </row>
    <row r="90" spans="1:13" ht="14.4" x14ac:dyDescent="0.3">
      <c r="A90" t="s">
        <v>90</v>
      </c>
      <c r="B90" s="4">
        <v>2.2000000000000002</v>
      </c>
      <c r="C90" s="4">
        <v>3.2</v>
      </c>
      <c r="D90" s="4">
        <v>61</v>
      </c>
      <c r="E90" s="4">
        <v>70</v>
      </c>
      <c r="F90" s="4">
        <v>27.3</v>
      </c>
      <c r="G90" s="4">
        <f t="shared" si="18"/>
        <v>-42.7</v>
      </c>
      <c r="H90" s="4" t="str">
        <f t="shared" si="19"/>
        <v>Decline</v>
      </c>
      <c r="I90" t="str">
        <f t="shared" si="21"/>
        <v>61-70</v>
      </c>
      <c r="J90" t="str">
        <f t="shared" si="20"/>
        <v>1-3</v>
      </c>
      <c r="K90" t="str">
        <f t="shared" si="15"/>
        <v>Fail</v>
      </c>
      <c r="L90" t="str">
        <f t="shared" si="16"/>
        <v>Pass</v>
      </c>
      <c r="M90" t="str">
        <f t="shared" si="17"/>
        <v>Increase</v>
      </c>
    </row>
    <row r="91" spans="1:13" ht="14.4" x14ac:dyDescent="0.3">
      <c r="A91" t="s">
        <v>94</v>
      </c>
      <c r="B91" s="4">
        <v>1.7</v>
      </c>
      <c r="C91" s="4">
        <v>2.7</v>
      </c>
      <c r="D91" s="4">
        <v>66.8</v>
      </c>
      <c r="E91" s="4">
        <v>51</v>
      </c>
      <c r="F91" s="4">
        <v>28.1</v>
      </c>
      <c r="G91" s="4">
        <f t="shared" si="18"/>
        <v>-22.9</v>
      </c>
      <c r="H91" s="4" t="str">
        <f t="shared" si="19"/>
        <v>Decline</v>
      </c>
      <c r="I91" t="str">
        <f t="shared" si="21"/>
        <v>61-70</v>
      </c>
      <c r="J91" t="str">
        <f t="shared" si="20"/>
        <v>1-3</v>
      </c>
      <c r="K91" t="str">
        <f t="shared" si="15"/>
        <v>Fail</v>
      </c>
      <c r="L91" t="str">
        <f t="shared" si="16"/>
        <v>Pass</v>
      </c>
      <c r="M91" t="str">
        <f t="shared" si="17"/>
        <v>Increase</v>
      </c>
    </row>
    <row r="92" spans="1:13" ht="14.4" x14ac:dyDescent="0.3">
      <c r="A92" t="s">
        <v>197</v>
      </c>
      <c r="B92" s="4">
        <v>1.6</v>
      </c>
      <c r="C92" s="4">
        <v>2.6</v>
      </c>
      <c r="D92" s="4">
        <v>63.8</v>
      </c>
      <c r="E92" s="4">
        <v>76</v>
      </c>
      <c r="F92" s="4">
        <v>28.2</v>
      </c>
      <c r="G92" s="4">
        <f t="shared" si="18"/>
        <v>-47.8</v>
      </c>
      <c r="H92" s="4" t="str">
        <f t="shared" si="19"/>
        <v>Decline</v>
      </c>
      <c r="I92" t="str">
        <f t="shared" si="21"/>
        <v>61-70</v>
      </c>
      <c r="J92" t="str">
        <f t="shared" si="20"/>
        <v>1-3</v>
      </c>
      <c r="K92" t="str">
        <f t="shared" si="15"/>
        <v>Fail</v>
      </c>
      <c r="L92" t="str">
        <f t="shared" si="16"/>
        <v>Pass</v>
      </c>
      <c r="M92" t="str">
        <f t="shared" si="17"/>
        <v>Increase</v>
      </c>
    </row>
    <row r="93" spans="1:13" ht="14.4" x14ac:dyDescent="0.3">
      <c r="A93" t="s">
        <v>91</v>
      </c>
      <c r="B93" s="4">
        <v>7.9</v>
      </c>
      <c r="C93" s="4">
        <v>8.9</v>
      </c>
      <c r="D93" s="4">
        <v>61</v>
      </c>
      <c r="E93" s="4">
        <v>70</v>
      </c>
      <c r="F93" s="4">
        <v>34</v>
      </c>
      <c r="G93" s="4">
        <f t="shared" si="18"/>
        <v>-36</v>
      </c>
      <c r="H93" s="4" t="str">
        <f t="shared" si="19"/>
        <v>Decline</v>
      </c>
      <c r="I93" t="str">
        <f t="shared" si="21"/>
        <v>61-70</v>
      </c>
      <c r="J93" t="str">
        <f t="shared" si="20"/>
        <v>7-9</v>
      </c>
      <c r="K93" t="str">
        <f t="shared" si="15"/>
        <v>Fail</v>
      </c>
      <c r="L93" t="str">
        <f t="shared" si="16"/>
        <v>Pass</v>
      </c>
      <c r="M93" t="str">
        <f t="shared" si="17"/>
        <v>Increase</v>
      </c>
    </row>
    <row r="94" spans="1:13" ht="14.4" x14ac:dyDescent="0.3">
      <c r="A94" t="s">
        <v>92</v>
      </c>
      <c r="B94" s="4">
        <v>9.6999999999999993</v>
      </c>
      <c r="C94" s="4">
        <v>10.7</v>
      </c>
      <c r="D94" s="4">
        <v>71.8</v>
      </c>
      <c r="E94" s="4">
        <v>68</v>
      </c>
      <c r="F94" s="4">
        <v>37.5</v>
      </c>
      <c r="G94" s="4">
        <f t="shared" si="18"/>
        <v>-30.5</v>
      </c>
      <c r="H94" s="4" t="str">
        <f t="shared" si="19"/>
        <v>Decline</v>
      </c>
      <c r="I94" t="str">
        <f t="shared" si="21"/>
        <v>71-80</v>
      </c>
      <c r="J94" t="str">
        <f t="shared" si="20"/>
        <v>10-12</v>
      </c>
      <c r="K94" t="str">
        <f t="shared" si="15"/>
        <v>Fail</v>
      </c>
      <c r="L94" t="str">
        <f t="shared" si="16"/>
        <v>Pass</v>
      </c>
      <c r="M94" t="str">
        <f t="shared" si="17"/>
        <v>Increase</v>
      </c>
    </row>
    <row r="95" spans="1:13" ht="14.4" x14ac:dyDescent="0.3">
      <c r="A95" t="s">
        <v>93</v>
      </c>
      <c r="B95" s="4">
        <v>5.6</v>
      </c>
      <c r="C95" s="4">
        <v>6.6</v>
      </c>
      <c r="D95" s="4">
        <v>51.5</v>
      </c>
      <c r="E95" s="4">
        <v>61</v>
      </c>
      <c r="F95" s="4">
        <v>29.1</v>
      </c>
      <c r="G95" s="4">
        <f t="shared" si="18"/>
        <v>-31.9</v>
      </c>
      <c r="H95" s="4" t="str">
        <f t="shared" si="19"/>
        <v>Decline</v>
      </c>
      <c r="I95" t="str">
        <f t="shared" si="21"/>
        <v>50-60</v>
      </c>
      <c r="J95" t="str">
        <f t="shared" si="20"/>
        <v>4-6</v>
      </c>
      <c r="K95" t="str">
        <f t="shared" si="15"/>
        <v>Fail</v>
      </c>
      <c r="L95" t="str">
        <f t="shared" si="16"/>
        <v>Pass</v>
      </c>
      <c r="M95" t="str">
        <f t="shared" si="17"/>
        <v>Increase</v>
      </c>
    </row>
    <row r="96" spans="1:13" ht="14.4" x14ac:dyDescent="0.3">
      <c r="A96" t="s">
        <v>131</v>
      </c>
      <c r="B96" s="4">
        <v>1.6</v>
      </c>
      <c r="C96" s="4">
        <v>2.6</v>
      </c>
      <c r="D96" s="4">
        <v>83.5</v>
      </c>
      <c r="E96" s="4">
        <v>95</v>
      </c>
      <c r="F96" s="4">
        <v>28.8</v>
      </c>
      <c r="G96" s="4">
        <f t="shared" si="18"/>
        <v>-66.2</v>
      </c>
      <c r="H96" s="4" t="str">
        <f t="shared" si="19"/>
        <v>Decline</v>
      </c>
      <c r="I96" t="str">
        <f t="shared" si="21"/>
        <v>81-90</v>
      </c>
      <c r="J96" t="str">
        <f t="shared" si="20"/>
        <v>1-3</v>
      </c>
      <c r="K96" t="str">
        <f t="shared" si="15"/>
        <v>Fail</v>
      </c>
      <c r="L96" t="str">
        <f t="shared" si="16"/>
        <v>Pass</v>
      </c>
      <c r="M96" t="str">
        <f t="shared" si="17"/>
        <v>Increase</v>
      </c>
    </row>
    <row r="97" spans="1:13" ht="14.4" x14ac:dyDescent="0.3">
      <c r="A97" t="s">
        <v>95</v>
      </c>
      <c r="B97" s="4">
        <v>5.2</v>
      </c>
      <c r="C97" s="4">
        <v>6.2</v>
      </c>
      <c r="D97" s="4">
        <v>84</v>
      </c>
      <c r="E97" s="4">
        <v>43</v>
      </c>
      <c r="F97" s="4">
        <v>28.7</v>
      </c>
      <c r="G97" s="4">
        <f t="shared" si="18"/>
        <v>-14.3</v>
      </c>
      <c r="H97" s="4" t="str">
        <f t="shared" si="19"/>
        <v>Decline</v>
      </c>
      <c r="I97" t="str">
        <f t="shared" si="21"/>
        <v>81-90</v>
      </c>
      <c r="J97" t="str">
        <f t="shared" si="20"/>
        <v>4-6</v>
      </c>
      <c r="K97" t="str">
        <f t="shared" si="15"/>
        <v>Fail</v>
      </c>
      <c r="L97" t="str">
        <f t="shared" si="16"/>
        <v>Fail</v>
      </c>
      <c r="M97" t="str">
        <f t="shared" si="17"/>
        <v>Increase</v>
      </c>
    </row>
    <row r="98" spans="1:13" ht="14.4" x14ac:dyDescent="0.3">
      <c r="A98" t="s">
        <v>96</v>
      </c>
      <c r="B98" s="4">
        <v>12</v>
      </c>
      <c r="C98" s="4">
        <v>13</v>
      </c>
      <c r="D98" s="4">
        <v>70.2</v>
      </c>
      <c r="E98" s="4">
        <v>56</v>
      </c>
      <c r="F98" s="4">
        <v>36.9</v>
      </c>
      <c r="G98" s="4">
        <f t="shared" si="18"/>
        <v>-19.100000000000001</v>
      </c>
      <c r="H98" s="4" t="str">
        <f t="shared" si="19"/>
        <v>Decline</v>
      </c>
      <c r="I98" t="str">
        <f t="shared" si="21"/>
        <v>61-70</v>
      </c>
      <c r="J98" t="str">
        <f t="shared" si="20"/>
        <v>13-14</v>
      </c>
      <c r="K98" t="str">
        <f t="shared" ref="K98:K129" si="22">IF($F$2:$F$201&gt;=40,"Pass","Fail")</f>
        <v>Fail</v>
      </c>
      <c r="L98" t="str">
        <f t="shared" ref="L98:L129" si="23">IF($E$2:$E$201&gt;=50,"Pass","Fail")</f>
        <v>Pass</v>
      </c>
      <c r="M98" t="str">
        <f t="shared" si="17"/>
        <v>Increase</v>
      </c>
    </row>
    <row r="99" spans="1:13" ht="14.4" x14ac:dyDescent="0.3">
      <c r="A99" t="s">
        <v>97</v>
      </c>
      <c r="B99" s="4">
        <v>6.8</v>
      </c>
      <c r="C99" s="4">
        <v>7.8</v>
      </c>
      <c r="D99" s="4">
        <v>58.3</v>
      </c>
      <c r="E99" s="4">
        <v>95</v>
      </c>
      <c r="F99" s="4">
        <v>36</v>
      </c>
      <c r="G99" s="4">
        <f t="shared" si="18"/>
        <v>-59</v>
      </c>
      <c r="H99" s="4" t="str">
        <f t="shared" si="19"/>
        <v>Decline</v>
      </c>
      <c r="I99" t="str">
        <f t="shared" si="21"/>
        <v>50-60</v>
      </c>
      <c r="J99" t="str">
        <f t="shared" si="20"/>
        <v>7-9</v>
      </c>
      <c r="K99" t="str">
        <f t="shared" si="22"/>
        <v>Fail</v>
      </c>
      <c r="L99" t="str">
        <f t="shared" si="23"/>
        <v>Pass</v>
      </c>
      <c r="M99" t="str">
        <f t="shared" si="17"/>
        <v>Increase</v>
      </c>
    </row>
    <row r="100" spans="1:13" ht="14.4" x14ac:dyDescent="0.3">
      <c r="A100" t="s">
        <v>98</v>
      </c>
      <c r="B100" s="4">
        <v>11.7</v>
      </c>
      <c r="C100" s="4">
        <v>12.7</v>
      </c>
      <c r="D100" s="4">
        <v>73.400000000000006</v>
      </c>
      <c r="E100" s="4">
        <v>70</v>
      </c>
      <c r="F100" s="4">
        <v>39.9</v>
      </c>
      <c r="G100" s="4">
        <f t="shared" si="18"/>
        <v>-30.1</v>
      </c>
      <c r="H100" s="4" t="str">
        <f t="shared" si="19"/>
        <v>Decline</v>
      </c>
      <c r="I100" t="str">
        <f t="shared" si="21"/>
        <v>71-80</v>
      </c>
      <c r="J100" t="str">
        <f t="shared" si="20"/>
        <v>10-12</v>
      </c>
      <c r="K100" t="str">
        <f t="shared" si="22"/>
        <v>Fail</v>
      </c>
      <c r="L100" t="str">
        <f t="shared" si="23"/>
        <v>Pass</v>
      </c>
      <c r="M100" t="str">
        <f t="shared" si="17"/>
        <v>Increase</v>
      </c>
    </row>
    <row r="101" spans="1:13" ht="14.4" x14ac:dyDescent="0.3">
      <c r="A101" t="s">
        <v>99</v>
      </c>
      <c r="B101" s="4">
        <v>10.5</v>
      </c>
      <c r="C101" s="4">
        <v>11.5</v>
      </c>
      <c r="D101" s="4">
        <v>56.4</v>
      </c>
      <c r="E101" s="4">
        <v>47</v>
      </c>
      <c r="F101" s="4">
        <v>37.1</v>
      </c>
      <c r="G101" s="4">
        <f t="shared" si="18"/>
        <v>-9.8999999999999986</v>
      </c>
      <c r="H101" s="4" t="str">
        <f t="shared" si="19"/>
        <v>Decline</v>
      </c>
      <c r="I101" t="str">
        <f t="shared" si="21"/>
        <v>50-60</v>
      </c>
      <c r="J101" t="str">
        <f t="shared" si="20"/>
        <v>10-12</v>
      </c>
      <c r="K101" t="str">
        <f t="shared" si="22"/>
        <v>Fail</v>
      </c>
      <c r="L101" t="str">
        <f t="shared" si="23"/>
        <v>Fail</v>
      </c>
      <c r="M101" t="str">
        <f t="shared" si="17"/>
        <v>Increase</v>
      </c>
    </row>
    <row r="102" spans="1:13" ht="14.4" x14ac:dyDescent="0.3">
      <c r="A102" t="s">
        <v>16</v>
      </c>
      <c r="B102" s="4">
        <v>3.4</v>
      </c>
      <c r="C102" s="4">
        <v>4.4000000000000004</v>
      </c>
      <c r="D102" s="4">
        <v>62.2</v>
      </c>
      <c r="E102" s="4">
        <v>45</v>
      </c>
      <c r="F102" s="4">
        <v>28.9</v>
      </c>
      <c r="G102" s="4">
        <f t="shared" si="18"/>
        <v>-16.100000000000001</v>
      </c>
      <c r="H102" s="4" t="str">
        <f t="shared" si="19"/>
        <v>Decline</v>
      </c>
      <c r="I102" t="str">
        <f t="shared" si="21"/>
        <v>61-70</v>
      </c>
      <c r="J102" t="str">
        <f t="shared" si="20"/>
        <v>4-6</v>
      </c>
      <c r="K102" t="str">
        <f t="shared" si="22"/>
        <v>Fail</v>
      </c>
      <c r="L102" t="str">
        <f t="shared" si="23"/>
        <v>Fail</v>
      </c>
      <c r="M102" t="str">
        <f t="shared" si="17"/>
        <v>Increase</v>
      </c>
    </row>
    <row r="103" spans="1:13" ht="14.4" x14ac:dyDescent="0.3">
      <c r="A103" t="s">
        <v>101</v>
      </c>
      <c r="B103" s="4">
        <v>8.9</v>
      </c>
      <c r="C103" s="4">
        <v>9.9</v>
      </c>
      <c r="D103" s="4">
        <v>51.3</v>
      </c>
      <c r="E103" s="4">
        <v>44</v>
      </c>
      <c r="F103" s="4">
        <v>31.3</v>
      </c>
      <c r="G103" s="4">
        <f t="shared" si="18"/>
        <v>-12.7</v>
      </c>
      <c r="H103" s="4" t="str">
        <f t="shared" si="19"/>
        <v>Decline</v>
      </c>
      <c r="I103" t="str">
        <f t="shared" si="21"/>
        <v>50-60</v>
      </c>
      <c r="J103" t="str">
        <f t="shared" ref="J103:J134" si="24">IF(AND(C103&gt;=1,C103&lt;=3.9),"1-3",IF(AND(C103&gt;=4,C103&lt;=6.9),"4-6",IF(AND(C103&gt;=7,C103&lt;=9.9),"7-9",IF(AND(C103&gt;=10,C103&lt;=12.9),"10-12",IF(AND(C103&gt;=13,C103&lt;=14),"13-14")))))</f>
        <v>7-9</v>
      </c>
      <c r="K103" t="str">
        <f t="shared" si="22"/>
        <v>Fail</v>
      </c>
      <c r="L103" t="str">
        <f t="shared" si="23"/>
        <v>Fail</v>
      </c>
      <c r="M103" t="str">
        <f t="shared" si="17"/>
        <v>Increase</v>
      </c>
    </row>
    <row r="104" spans="1:13" ht="14.4" x14ac:dyDescent="0.3">
      <c r="A104" t="s">
        <v>102</v>
      </c>
      <c r="B104" s="4">
        <v>8.5</v>
      </c>
      <c r="C104" s="4">
        <v>9.5</v>
      </c>
      <c r="D104" s="4">
        <v>69.7</v>
      </c>
      <c r="E104" s="4">
        <v>65</v>
      </c>
      <c r="F104" s="4">
        <v>35.700000000000003</v>
      </c>
      <c r="G104" s="4">
        <f t="shared" si="18"/>
        <v>-29.299999999999997</v>
      </c>
      <c r="H104" s="4" t="str">
        <f t="shared" si="19"/>
        <v>Decline</v>
      </c>
      <c r="I104" t="str">
        <f t="shared" si="21"/>
        <v>61-70</v>
      </c>
      <c r="J104" t="str">
        <f t="shared" si="24"/>
        <v>7-9</v>
      </c>
      <c r="K104" t="str">
        <f t="shared" si="22"/>
        <v>Fail</v>
      </c>
      <c r="L104" t="str">
        <f t="shared" si="23"/>
        <v>Pass</v>
      </c>
      <c r="M104" t="str">
        <f t="shared" si="17"/>
        <v>Increase</v>
      </c>
    </row>
    <row r="105" spans="1:13" ht="14.4" x14ac:dyDescent="0.3">
      <c r="A105" t="s">
        <v>103</v>
      </c>
      <c r="B105" s="4">
        <v>6.9</v>
      </c>
      <c r="C105" s="4">
        <v>7.9</v>
      </c>
      <c r="D105" s="4">
        <v>78.2</v>
      </c>
      <c r="E105" s="4">
        <v>71</v>
      </c>
      <c r="F105" s="4">
        <v>32.6</v>
      </c>
      <c r="G105" s="4">
        <f t="shared" si="18"/>
        <v>-38.4</v>
      </c>
      <c r="H105" s="4" t="str">
        <f t="shared" si="19"/>
        <v>Decline</v>
      </c>
      <c r="I105" t="str">
        <f t="shared" si="21"/>
        <v>71-80</v>
      </c>
      <c r="J105" t="str">
        <f t="shared" si="24"/>
        <v>7-9</v>
      </c>
      <c r="K105" t="str">
        <f t="shared" si="22"/>
        <v>Fail</v>
      </c>
      <c r="L105" t="str">
        <f t="shared" si="23"/>
        <v>Pass</v>
      </c>
      <c r="M105" t="str">
        <f t="shared" si="17"/>
        <v>Increase</v>
      </c>
    </row>
    <row r="106" spans="1:13" ht="14.4" x14ac:dyDescent="0.3">
      <c r="A106" t="s">
        <v>104</v>
      </c>
      <c r="B106" s="4">
        <v>3.9</v>
      </c>
      <c r="C106" s="4">
        <v>4.9000000000000004</v>
      </c>
      <c r="D106" s="4">
        <v>51.4</v>
      </c>
      <c r="E106" s="4">
        <v>44</v>
      </c>
      <c r="F106" s="4">
        <v>24.1</v>
      </c>
      <c r="G106" s="4">
        <f t="shared" si="18"/>
        <v>-19.899999999999999</v>
      </c>
      <c r="H106" s="4" t="str">
        <f t="shared" si="19"/>
        <v>Decline</v>
      </c>
      <c r="I106" t="str">
        <f t="shared" si="21"/>
        <v>50-60</v>
      </c>
      <c r="J106" t="str">
        <f t="shared" si="24"/>
        <v>4-6</v>
      </c>
      <c r="K106" t="str">
        <f t="shared" si="22"/>
        <v>Fail</v>
      </c>
      <c r="L106" t="str">
        <f t="shared" si="23"/>
        <v>Fail</v>
      </c>
      <c r="M106" t="str">
        <f t="shared" si="17"/>
        <v>Increase</v>
      </c>
    </row>
    <row r="107" spans="1:13" ht="14.4" x14ac:dyDescent="0.3">
      <c r="A107" t="s">
        <v>105</v>
      </c>
      <c r="B107" s="4">
        <v>8.1</v>
      </c>
      <c r="C107" s="4">
        <v>9.1</v>
      </c>
      <c r="D107" s="4">
        <v>82.1</v>
      </c>
      <c r="E107" s="4">
        <v>76</v>
      </c>
      <c r="F107" s="4">
        <v>38.200000000000003</v>
      </c>
      <c r="G107" s="4">
        <f t="shared" si="18"/>
        <v>-37.799999999999997</v>
      </c>
      <c r="H107" s="4" t="str">
        <f t="shared" si="19"/>
        <v>Decline</v>
      </c>
      <c r="I107" t="str">
        <f t="shared" si="21"/>
        <v>81-90</v>
      </c>
      <c r="J107" t="str">
        <f t="shared" si="24"/>
        <v>7-9</v>
      </c>
      <c r="K107" t="str">
        <f t="shared" si="22"/>
        <v>Fail</v>
      </c>
      <c r="L107" t="str">
        <f t="shared" si="23"/>
        <v>Pass</v>
      </c>
      <c r="M107" t="str">
        <f t="shared" si="17"/>
        <v>Increase</v>
      </c>
    </row>
    <row r="108" spans="1:13" ht="14.4" x14ac:dyDescent="0.3">
      <c r="A108" t="s">
        <v>26</v>
      </c>
      <c r="B108" s="4">
        <v>2</v>
      </c>
      <c r="C108" s="4">
        <v>3</v>
      </c>
      <c r="D108" s="4">
        <v>82.8</v>
      </c>
      <c r="E108" s="4">
        <v>70</v>
      </c>
      <c r="F108" s="4">
        <v>29</v>
      </c>
      <c r="G108" s="4">
        <f t="shared" si="18"/>
        <v>-41</v>
      </c>
      <c r="H108" s="4" t="str">
        <f t="shared" si="19"/>
        <v>Decline</v>
      </c>
      <c r="I108" t="str">
        <f t="shared" si="21"/>
        <v>81-90</v>
      </c>
      <c r="J108" t="str">
        <f t="shared" si="24"/>
        <v>1-3</v>
      </c>
      <c r="K108" t="str">
        <f t="shared" si="22"/>
        <v>Fail</v>
      </c>
      <c r="L108" t="str">
        <f t="shared" si="23"/>
        <v>Pass</v>
      </c>
      <c r="M108" t="str">
        <f t="shared" si="17"/>
        <v>Increase</v>
      </c>
    </row>
    <row r="109" spans="1:13" ht="14.4" x14ac:dyDescent="0.3">
      <c r="A109" t="s">
        <v>107</v>
      </c>
      <c r="B109" s="4">
        <v>5.8</v>
      </c>
      <c r="C109" s="4">
        <v>6.8</v>
      </c>
      <c r="D109" s="4">
        <v>73.099999999999994</v>
      </c>
      <c r="E109" s="4">
        <v>83</v>
      </c>
      <c r="F109" s="4">
        <v>39.200000000000003</v>
      </c>
      <c r="G109" s="4">
        <f t="shared" si="18"/>
        <v>-43.8</v>
      </c>
      <c r="H109" s="4" t="str">
        <f t="shared" si="19"/>
        <v>Decline</v>
      </c>
      <c r="I109" t="str">
        <f t="shared" si="21"/>
        <v>71-80</v>
      </c>
      <c r="J109" t="str">
        <f t="shared" si="24"/>
        <v>4-6</v>
      </c>
      <c r="K109" t="str">
        <f t="shared" si="22"/>
        <v>Fail</v>
      </c>
      <c r="L109" t="str">
        <f t="shared" si="23"/>
        <v>Pass</v>
      </c>
      <c r="M109" t="str">
        <f t="shared" si="17"/>
        <v>Increase</v>
      </c>
    </row>
    <row r="110" spans="1:13" ht="14.4" x14ac:dyDescent="0.3">
      <c r="A110" t="s">
        <v>108</v>
      </c>
      <c r="B110" s="4">
        <v>6</v>
      </c>
      <c r="C110" s="4">
        <v>7</v>
      </c>
      <c r="D110" s="4">
        <v>52.5</v>
      </c>
      <c r="E110" s="4">
        <v>43</v>
      </c>
      <c r="F110" s="4">
        <v>23.2</v>
      </c>
      <c r="G110" s="4">
        <f t="shared" si="18"/>
        <v>-19.8</v>
      </c>
      <c r="H110" s="4" t="str">
        <f t="shared" si="19"/>
        <v>Decline</v>
      </c>
      <c r="I110" t="str">
        <f t="shared" si="21"/>
        <v>50-60</v>
      </c>
      <c r="J110" t="str">
        <f t="shared" si="24"/>
        <v>7-9</v>
      </c>
      <c r="K110" t="str">
        <f t="shared" si="22"/>
        <v>Fail</v>
      </c>
      <c r="L110" t="str">
        <f t="shared" si="23"/>
        <v>Fail</v>
      </c>
      <c r="M110" t="str">
        <f t="shared" si="17"/>
        <v>Increase</v>
      </c>
    </row>
    <row r="111" spans="1:13" ht="14.4" x14ac:dyDescent="0.3">
      <c r="A111" t="s">
        <v>109</v>
      </c>
      <c r="B111" s="4">
        <v>11.5</v>
      </c>
      <c r="C111" s="4">
        <v>12.5</v>
      </c>
      <c r="D111" s="4">
        <v>69</v>
      </c>
      <c r="E111" s="4">
        <v>49</v>
      </c>
      <c r="F111" s="4">
        <v>42.2</v>
      </c>
      <c r="G111" s="4">
        <f t="shared" si="18"/>
        <v>-6.7999999999999972</v>
      </c>
      <c r="H111" s="4" t="str">
        <f t="shared" si="19"/>
        <v>Decline</v>
      </c>
      <c r="I111" t="str">
        <f t="shared" si="21"/>
        <v>61-70</v>
      </c>
      <c r="J111" t="str">
        <f t="shared" si="24"/>
        <v>10-12</v>
      </c>
      <c r="K111" t="str">
        <f t="shared" si="22"/>
        <v>Pass</v>
      </c>
      <c r="L111" t="str">
        <f t="shared" si="23"/>
        <v>Fail</v>
      </c>
      <c r="M111" t="str">
        <f t="shared" si="17"/>
        <v>Increase</v>
      </c>
    </row>
    <row r="112" spans="1:13" ht="14.4" x14ac:dyDescent="0.3">
      <c r="A112" t="s">
        <v>110</v>
      </c>
      <c r="B112" s="4">
        <v>10.6</v>
      </c>
      <c r="C112" s="4">
        <v>11.6</v>
      </c>
      <c r="D112" s="4">
        <v>60.6</v>
      </c>
      <c r="E112" s="4">
        <v>49</v>
      </c>
      <c r="F112" s="4">
        <v>39.6</v>
      </c>
      <c r="G112" s="4">
        <f t="shared" si="18"/>
        <v>-9.3999999999999986</v>
      </c>
      <c r="H112" s="4" t="str">
        <f t="shared" si="19"/>
        <v>Decline</v>
      </c>
      <c r="I112" t="str">
        <f t="shared" si="21"/>
        <v>50-60</v>
      </c>
      <c r="J112" t="str">
        <f t="shared" si="24"/>
        <v>10-12</v>
      </c>
      <c r="K112" t="str">
        <f t="shared" si="22"/>
        <v>Fail</v>
      </c>
      <c r="L112" t="str">
        <f t="shared" si="23"/>
        <v>Fail</v>
      </c>
      <c r="M112" t="str">
        <f t="shared" si="17"/>
        <v>Increase</v>
      </c>
    </row>
    <row r="113" spans="1:13" ht="14.4" x14ac:dyDescent="0.3">
      <c r="A113" t="s">
        <v>111</v>
      </c>
      <c r="B113" s="4">
        <v>3.9</v>
      </c>
      <c r="C113" s="4">
        <v>4.9000000000000004</v>
      </c>
      <c r="D113" s="4">
        <v>66.3</v>
      </c>
      <c r="E113" s="4">
        <v>91</v>
      </c>
      <c r="F113" s="4">
        <v>34.799999999999997</v>
      </c>
      <c r="G113" s="4">
        <f t="shared" si="18"/>
        <v>-56.2</v>
      </c>
      <c r="H113" s="4" t="str">
        <f t="shared" si="19"/>
        <v>Decline</v>
      </c>
      <c r="I113" t="str">
        <f t="shared" si="21"/>
        <v>61-70</v>
      </c>
      <c r="J113" t="str">
        <f t="shared" si="24"/>
        <v>4-6</v>
      </c>
      <c r="K113" t="str">
        <f t="shared" si="22"/>
        <v>Fail</v>
      </c>
      <c r="L113" t="str">
        <f t="shared" si="23"/>
        <v>Pass</v>
      </c>
      <c r="M113" t="str">
        <f t="shared" si="17"/>
        <v>Increase</v>
      </c>
    </row>
    <row r="114" spans="1:13" ht="14.4" x14ac:dyDescent="0.3">
      <c r="A114" t="s">
        <v>112</v>
      </c>
      <c r="B114" s="4">
        <v>6.5</v>
      </c>
      <c r="C114" s="4">
        <v>7.5</v>
      </c>
      <c r="D114" s="4">
        <v>88.1</v>
      </c>
      <c r="E114" s="4">
        <v>76</v>
      </c>
      <c r="F114" s="4">
        <v>34.6</v>
      </c>
      <c r="G114" s="4">
        <f t="shared" si="18"/>
        <v>-41.4</v>
      </c>
      <c r="H114" s="4" t="str">
        <f t="shared" si="19"/>
        <v>Decline</v>
      </c>
      <c r="I114" t="str">
        <f t="shared" si="21"/>
        <v>81-90</v>
      </c>
      <c r="J114" t="str">
        <f t="shared" si="24"/>
        <v>7-9</v>
      </c>
      <c r="K114" t="str">
        <f t="shared" si="22"/>
        <v>Fail</v>
      </c>
      <c r="L114" t="str">
        <f t="shared" si="23"/>
        <v>Pass</v>
      </c>
      <c r="M114" t="str">
        <f t="shared" si="17"/>
        <v>Increase</v>
      </c>
    </row>
    <row r="115" spans="1:13" ht="14.4" x14ac:dyDescent="0.3">
      <c r="A115" t="s">
        <v>136</v>
      </c>
      <c r="B115" s="4">
        <v>1.8</v>
      </c>
      <c r="C115" s="4">
        <v>2.8</v>
      </c>
      <c r="D115" s="4">
        <v>58.4</v>
      </c>
      <c r="E115" s="4">
        <v>79</v>
      </c>
      <c r="F115" s="4">
        <v>29</v>
      </c>
      <c r="G115" s="4">
        <f t="shared" si="18"/>
        <v>-50</v>
      </c>
      <c r="H115" s="4" t="str">
        <f t="shared" si="19"/>
        <v>Decline</v>
      </c>
      <c r="I115" t="str">
        <f t="shared" si="21"/>
        <v>50-60</v>
      </c>
      <c r="J115" t="str">
        <f t="shared" si="24"/>
        <v>1-3</v>
      </c>
      <c r="K115" t="str">
        <f t="shared" si="22"/>
        <v>Fail</v>
      </c>
      <c r="L115" t="str">
        <f t="shared" si="23"/>
        <v>Pass</v>
      </c>
      <c r="M115" t="str">
        <f t="shared" si="17"/>
        <v>Increase</v>
      </c>
    </row>
    <row r="116" spans="1:13" ht="14.4" x14ac:dyDescent="0.3">
      <c r="A116" t="s">
        <v>114</v>
      </c>
      <c r="B116" s="4">
        <v>11</v>
      </c>
      <c r="C116" s="4">
        <v>12</v>
      </c>
      <c r="D116" s="4">
        <v>87.6</v>
      </c>
      <c r="E116" s="4">
        <v>45</v>
      </c>
      <c r="F116" s="4">
        <v>43.1</v>
      </c>
      <c r="G116" s="4">
        <f t="shared" si="18"/>
        <v>-1.8999999999999986</v>
      </c>
      <c r="H116" s="4" t="str">
        <f t="shared" si="19"/>
        <v>Decline</v>
      </c>
      <c r="I116" t="str">
        <f t="shared" si="21"/>
        <v>81-90</v>
      </c>
      <c r="J116" t="str">
        <f t="shared" si="24"/>
        <v>10-12</v>
      </c>
      <c r="K116" t="str">
        <f t="shared" si="22"/>
        <v>Pass</v>
      </c>
      <c r="L116" t="str">
        <f t="shared" si="23"/>
        <v>Fail</v>
      </c>
      <c r="M116" t="str">
        <f t="shared" si="17"/>
        <v>Increase</v>
      </c>
    </row>
    <row r="117" spans="1:13" ht="14.4" x14ac:dyDescent="0.3">
      <c r="A117" t="s">
        <v>115</v>
      </c>
      <c r="B117" s="4">
        <v>10.6</v>
      </c>
      <c r="C117" s="4">
        <v>11.6</v>
      </c>
      <c r="D117" s="4">
        <v>91.6</v>
      </c>
      <c r="E117" s="4">
        <v>55</v>
      </c>
      <c r="F117" s="4">
        <v>46.4</v>
      </c>
      <c r="G117" s="4">
        <f t="shared" si="18"/>
        <v>-8.6000000000000014</v>
      </c>
      <c r="H117" s="4" t="str">
        <f t="shared" si="19"/>
        <v>Decline</v>
      </c>
      <c r="I117" t="str">
        <f t="shared" si="21"/>
        <v>91-100</v>
      </c>
      <c r="J117" t="str">
        <f t="shared" si="24"/>
        <v>10-12</v>
      </c>
      <c r="K117" t="str">
        <f t="shared" si="22"/>
        <v>Pass</v>
      </c>
      <c r="L117" t="str">
        <f t="shared" si="23"/>
        <v>Pass</v>
      </c>
      <c r="M117" t="str">
        <f t="shared" si="17"/>
        <v>Increase</v>
      </c>
    </row>
    <row r="118" spans="1:13" ht="14.4" x14ac:dyDescent="0.3">
      <c r="A118" t="s">
        <v>116</v>
      </c>
      <c r="B118" s="4">
        <v>4.3</v>
      </c>
      <c r="C118" s="4">
        <v>5.3</v>
      </c>
      <c r="D118" s="4">
        <v>62.6</v>
      </c>
      <c r="E118" s="4">
        <v>47</v>
      </c>
      <c r="F118" s="4">
        <v>25.2</v>
      </c>
      <c r="G118" s="4">
        <f t="shared" si="18"/>
        <v>-21.8</v>
      </c>
      <c r="H118" s="4" t="str">
        <f t="shared" si="19"/>
        <v>Decline</v>
      </c>
      <c r="I118" t="str">
        <f t="shared" si="21"/>
        <v>61-70</v>
      </c>
      <c r="J118" t="str">
        <f t="shared" si="24"/>
        <v>4-6</v>
      </c>
      <c r="K118" t="str">
        <f t="shared" si="22"/>
        <v>Fail</v>
      </c>
      <c r="L118" t="str">
        <f t="shared" si="23"/>
        <v>Fail</v>
      </c>
      <c r="M118" t="str">
        <f t="shared" si="17"/>
        <v>Increase</v>
      </c>
    </row>
    <row r="119" spans="1:13" ht="14.4" x14ac:dyDescent="0.3">
      <c r="A119" t="s">
        <v>117</v>
      </c>
      <c r="B119" s="4">
        <v>8</v>
      </c>
      <c r="C119" s="4">
        <v>9</v>
      </c>
      <c r="D119" s="4">
        <v>54.1</v>
      </c>
      <c r="E119" s="4">
        <v>75</v>
      </c>
      <c r="F119" s="4">
        <v>31.3</v>
      </c>
      <c r="G119" s="4">
        <f t="shared" si="18"/>
        <v>-43.7</v>
      </c>
      <c r="H119" s="4" t="str">
        <f t="shared" si="19"/>
        <v>Decline</v>
      </c>
      <c r="I119" t="str">
        <f t="shared" si="21"/>
        <v>50-60</v>
      </c>
      <c r="J119" t="str">
        <f t="shared" si="24"/>
        <v>7-9</v>
      </c>
      <c r="K119" t="str">
        <f t="shared" si="22"/>
        <v>Fail</v>
      </c>
      <c r="L119" t="str">
        <f t="shared" si="23"/>
        <v>Pass</v>
      </c>
      <c r="M119" t="str">
        <f t="shared" si="17"/>
        <v>Increase</v>
      </c>
    </row>
    <row r="120" spans="1:13" ht="14.4" x14ac:dyDescent="0.3">
      <c r="A120" t="s">
        <v>118</v>
      </c>
      <c r="B120" s="4">
        <v>7.7</v>
      </c>
      <c r="C120" s="4">
        <v>8.6999999999999993</v>
      </c>
      <c r="D120" s="4">
        <v>51</v>
      </c>
      <c r="E120" s="4">
        <v>88</v>
      </c>
      <c r="F120" s="4">
        <v>35.799999999999997</v>
      </c>
      <c r="G120" s="4">
        <f t="shared" si="18"/>
        <v>-52.2</v>
      </c>
      <c r="H120" s="4" t="str">
        <f t="shared" si="19"/>
        <v>Decline</v>
      </c>
      <c r="I120" t="str">
        <f t="shared" si="21"/>
        <v>50-60</v>
      </c>
      <c r="J120" t="str">
        <f t="shared" si="24"/>
        <v>7-9</v>
      </c>
      <c r="K120" t="str">
        <f t="shared" si="22"/>
        <v>Fail</v>
      </c>
      <c r="L120" t="str">
        <f t="shared" si="23"/>
        <v>Pass</v>
      </c>
      <c r="M120" t="str">
        <f t="shared" si="17"/>
        <v>Increase</v>
      </c>
    </row>
    <row r="121" spans="1:13" ht="14.4" x14ac:dyDescent="0.3">
      <c r="A121" t="s">
        <v>10</v>
      </c>
      <c r="B121" s="4">
        <v>3.4</v>
      </c>
      <c r="C121" s="4">
        <v>4.4000000000000004</v>
      </c>
      <c r="D121" s="4">
        <v>90.9</v>
      </c>
      <c r="E121" s="4">
        <v>81</v>
      </c>
      <c r="F121" s="4">
        <v>29.3</v>
      </c>
      <c r="G121" s="4">
        <f t="shared" si="18"/>
        <v>-51.7</v>
      </c>
      <c r="H121" s="4" t="str">
        <f t="shared" si="19"/>
        <v>Decline</v>
      </c>
      <c r="I121" t="str">
        <f t="shared" si="21"/>
        <v>81-90</v>
      </c>
      <c r="J121" t="str">
        <f t="shared" si="24"/>
        <v>4-6</v>
      </c>
      <c r="K121" t="str">
        <f t="shared" si="22"/>
        <v>Fail</v>
      </c>
      <c r="L121" t="str">
        <f t="shared" si="23"/>
        <v>Pass</v>
      </c>
      <c r="M121" t="str">
        <f t="shared" si="17"/>
        <v>Increase</v>
      </c>
    </row>
    <row r="122" spans="1:13" ht="14.4" x14ac:dyDescent="0.3">
      <c r="A122" t="s">
        <v>120</v>
      </c>
      <c r="B122" s="4">
        <v>9.4</v>
      </c>
      <c r="C122" s="4">
        <v>10.4</v>
      </c>
      <c r="D122" s="4">
        <v>100</v>
      </c>
      <c r="E122" s="4">
        <v>78</v>
      </c>
      <c r="F122" s="4">
        <v>47.9</v>
      </c>
      <c r="G122" s="4">
        <f t="shared" si="18"/>
        <v>-30.1</v>
      </c>
      <c r="H122" s="4" t="str">
        <f t="shared" si="19"/>
        <v>Decline</v>
      </c>
      <c r="I122" t="str">
        <f t="shared" si="21"/>
        <v>91-100</v>
      </c>
      <c r="J122" t="str">
        <f t="shared" si="24"/>
        <v>10-12</v>
      </c>
      <c r="K122" t="str">
        <f t="shared" si="22"/>
        <v>Pass</v>
      </c>
      <c r="L122" t="str">
        <f t="shared" si="23"/>
        <v>Pass</v>
      </c>
      <c r="M122" t="str">
        <f t="shared" si="17"/>
        <v>Increase</v>
      </c>
    </row>
    <row r="123" spans="1:13" ht="14.4" x14ac:dyDescent="0.3">
      <c r="A123" t="s">
        <v>121</v>
      </c>
      <c r="B123" s="4">
        <v>6.9</v>
      </c>
      <c r="C123" s="4">
        <v>7.9</v>
      </c>
      <c r="D123" s="4">
        <v>67.5</v>
      </c>
      <c r="E123" s="4">
        <v>78</v>
      </c>
      <c r="F123" s="4">
        <v>40.9</v>
      </c>
      <c r="G123" s="4">
        <f t="shared" si="18"/>
        <v>-37.1</v>
      </c>
      <c r="H123" s="4" t="str">
        <f t="shared" si="19"/>
        <v>Decline</v>
      </c>
      <c r="I123" t="str">
        <f t="shared" si="21"/>
        <v>61-70</v>
      </c>
      <c r="J123" t="str">
        <f t="shared" si="24"/>
        <v>7-9</v>
      </c>
      <c r="K123" t="str">
        <f t="shared" si="22"/>
        <v>Pass</v>
      </c>
      <c r="L123" t="str">
        <f t="shared" si="23"/>
        <v>Pass</v>
      </c>
      <c r="M123" t="str">
        <f t="shared" si="17"/>
        <v>Increase</v>
      </c>
    </row>
    <row r="124" spans="1:13" ht="14.4" x14ac:dyDescent="0.3">
      <c r="A124" t="s">
        <v>122</v>
      </c>
      <c r="B124" s="4">
        <v>9.6</v>
      </c>
      <c r="C124" s="4">
        <v>10.6</v>
      </c>
      <c r="D124" s="4">
        <v>82.5</v>
      </c>
      <c r="E124" s="4">
        <v>90</v>
      </c>
      <c r="F124" s="4">
        <v>44.1</v>
      </c>
      <c r="G124" s="4">
        <f t="shared" si="18"/>
        <v>-45.9</v>
      </c>
      <c r="H124" s="4" t="str">
        <f t="shared" si="19"/>
        <v>Decline</v>
      </c>
      <c r="I124" t="str">
        <f t="shared" si="21"/>
        <v>81-90</v>
      </c>
      <c r="J124" t="str">
        <f t="shared" si="24"/>
        <v>10-12</v>
      </c>
      <c r="K124" t="str">
        <f t="shared" si="22"/>
        <v>Pass</v>
      </c>
      <c r="L124" t="str">
        <f t="shared" si="23"/>
        <v>Pass</v>
      </c>
      <c r="M124" t="str">
        <f t="shared" si="17"/>
        <v>Increase</v>
      </c>
    </row>
    <row r="125" spans="1:13" ht="14.4" x14ac:dyDescent="0.3">
      <c r="A125" t="s">
        <v>123</v>
      </c>
      <c r="B125" s="4">
        <v>6.8</v>
      </c>
      <c r="C125" s="4">
        <v>7.8</v>
      </c>
      <c r="D125" s="4">
        <v>89.1</v>
      </c>
      <c r="E125" s="4">
        <v>79</v>
      </c>
      <c r="F125" s="4">
        <v>39.299999999999997</v>
      </c>
      <c r="G125" s="4">
        <f t="shared" si="18"/>
        <v>-39.700000000000003</v>
      </c>
      <c r="H125" s="4" t="str">
        <f t="shared" si="19"/>
        <v>Decline</v>
      </c>
      <c r="I125" t="str">
        <f t="shared" si="21"/>
        <v>81-90</v>
      </c>
      <c r="J125" t="str">
        <f t="shared" si="24"/>
        <v>7-9</v>
      </c>
      <c r="K125" t="str">
        <f t="shared" si="22"/>
        <v>Fail</v>
      </c>
      <c r="L125" t="str">
        <f t="shared" si="23"/>
        <v>Pass</v>
      </c>
      <c r="M125" t="str">
        <f t="shared" si="17"/>
        <v>Increase</v>
      </c>
    </row>
    <row r="126" spans="1:13" ht="14.4" x14ac:dyDescent="0.3">
      <c r="A126" t="s">
        <v>154</v>
      </c>
      <c r="B126" s="4">
        <v>2.2999999999999998</v>
      </c>
      <c r="C126" s="4">
        <v>3.3</v>
      </c>
      <c r="D126" s="4">
        <v>92.5</v>
      </c>
      <c r="E126" s="4">
        <v>40</v>
      </c>
      <c r="F126" s="4">
        <v>29.7</v>
      </c>
      <c r="G126" s="4">
        <f t="shared" si="18"/>
        <v>-10.3</v>
      </c>
      <c r="H126" s="4" t="str">
        <f t="shared" si="19"/>
        <v>Decline</v>
      </c>
      <c r="I126" t="str">
        <f t="shared" si="21"/>
        <v>91-100</v>
      </c>
      <c r="J126" t="str">
        <f t="shared" si="24"/>
        <v>1-3</v>
      </c>
      <c r="K126" t="str">
        <f t="shared" si="22"/>
        <v>Fail</v>
      </c>
      <c r="L126" t="str">
        <f t="shared" si="23"/>
        <v>Fail</v>
      </c>
      <c r="M126" t="str">
        <f t="shared" si="17"/>
        <v>Increase</v>
      </c>
    </row>
    <row r="127" spans="1:13" ht="14.4" x14ac:dyDescent="0.3">
      <c r="A127" t="s">
        <v>125</v>
      </c>
      <c r="B127" s="4">
        <v>4.5999999999999996</v>
      </c>
      <c r="C127" s="4">
        <v>5.6</v>
      </c>
      <c r="D127" s="4">
        <v>87.7</v>
      </c>
      <c r="E127" s="4">
        <v>89</v>
      </c>
      <c r="F127" s="4">
        <v>38.6</v>
      </c>
      <c r="G127" s="4">
        <f t="shared" si="18"/>
        <v>-50.4</v>
      </c>
      <c r="H127" s="4" t="str">
        <f t="shared" si="19"/>
        <v>Decline</v>
      </c>
      <c r="I127" t="str">
        <f t="shared" si="21"/>
        <v>81-90</v>
      </c>
      <c r="J127" t="str">
        <f t="shared" si="24"/>
        <v>4-6</v>
      </c>
      <c r="K127" t="str">
        <f t="shared" si="22"/>
        <v>Fail</v>
      </c>
      <c r="L127" t="str">
        <f t="shared" si="23"/>
        <v>Pass</v>
      </c>
      <c r="M127" t="str">
        <f t="shared" si="17"/>
        <v>Increase</v>
      </c>
    </row>
    <row r="128" spans="1:13" ht="14.4" x14ac:dyDescent="0.3">
      <c r="A128" t="s">
        <v>119</v>
      </c>
      <c r="B128" s="4">
        <v>2.7</v>
      </c>
      <c r="C128" s="4">
        <v>3.7</v>
      </c>
      <c r="D128" s="4">
        <v>77</v>
      </c>
      <c r="E128" s="4">
        <v>66</v>
      </c>
      <c r="F128" s="4">
        <v>29.8</v>
      </c>
      <c r="G128" s="4">
        <f t="shared" si="18"/>
        <v>-36.200000000000003</v>
      </c>
      <c r="H128" s="4" t="str">
        <f t="shared" si="19"/>
        <v>Decline</v>
      </c>
      <c r="I128" t="str">
        <f t="shared" si="21"/>
        <v>71-80</v>
      </c>
      <c r="J128" t="str">
        <f t="shared" si="24"/>
        <v>1-3</v>
      </c>
      <c r="K128" t="str">
        <f t="shared" si="22"/>
        <v>Fail</v>
      </c>
      <c r="L128" t="str">
        <f t="shared" si="23"/>
        <v>Pass</v>
      </c>
      <c r="M128" t="str">
        <f t="shared" si="17"/>
        <v>Increase</v>
      </c>
    </row>
    <row r="129" spans="1:13" ht="14.4" x14ac:dyDescent="0.3">
      <c r="A129" t="s">
        <v>127</v>
      </c>
      <c r="B129" s="4">
        <v>11.2</v>
      </c>
      <c r="C129" s="4">
        <v>12.2</v>
      </c>
      <c r="D129" s="4">
        <v>60</v>
      </c>
      <c r="E129" s="4">
        <v>64</v>
      </c>
      <c r="F129" s="4">
        <v>42.7</v>
      </c>
      <c r="G129" s="4">
        <f t="shared" si="18"/>
        <v>-21.299999999999997</v>
      </c>
      <c r="H129" s="4" t="str">
        <f t="shared" si="19"/>
        <v>Decline</v>
      </c>
      <c r="I129" t="str">
        <f t="shared" si="21"/>
        <v>50-60</v>
      </c>
      <c r="J129" t="str">
        <f t="shared" si="24"/>
        <v>10-12</v>
      </c>
      <c r="K129" t="str">
        <f t="shared" si="22"/>
        <v>Pass</v>
      </c>
      <c r="L129" t="str">
        <f t="shared" si="23"/>
        <v>Pass</v>
      </c>
      <c r="M129" t="str">
        <f t="shared" si="17"/>
        <v>Increase</v>
      </c>
    </row>
    <row r="130" spans="1:13" ht="14.4" x14ac:dyDescent="0.3">
      <c r="A130" t="s">
        <v>128</v>
      </c>
      <c r="B130" s="4">
        <v>10.7</v>
      </c>
      <c r="C130" s="4">
        <v>11.7</v>
      </c>
      <c r="D130" s="4">
        <v>51</v>
      </c>
      <c r="E130" s="4">
        <v>68</v>
      </c>
      <c r="F130" s="4">
        <v>36.1</v>
      </c>
      <c r="G130" s="4">
        <f t="shared" si="18"/>
        <v>-31.9</v>
      </c>
      <c r="H130" s="4" t="str">
        <f t="shared" si="19"/>
        <v>Decline</v>
      </c>
      <c r="I130" t="str">
        <f t="shared" si="21"/>
        <v>50-60</v>
      </c>
      <c r="J130" t="str">
        <f t="shared" si="24"/>
        <v>10-12</v>
      </c>
      <c r="K130" t="str">
        <f t="shared" ref="K130:K161" si="25">IF($F$2:$F$201&gt;=40,"Pass","Fail")</f>
        <v>Fail</v>
      </c>
      <c r="L130" t="str">
        <f t="shared" ref="L130:L161" si="26">IF($E$2:$E$201&gt;=50,"Pass","Fail")</f>
        <v>Pass</v>
      </c>
      <c r="M130" t="str">
        <f t="shared" ref="M130:M193" si="27">IF(AND(B130&gt;C130),"Decrease","Increase")</f>
        <v>Increase</v>
      </c>
    </row>
    <row r="131" spans="1:13" ht="14.4" x14ac:dyDescent="0.3">
      <c r="A131" t="s">
        <v>129</v>
      </c>
      <c r="B131" s="4">
        <v>10.1</v>
      </c>
      <c r="C131" s="4">
        <v>11.1</v>
      </c>
      <c r="D131" s="4">
        <v>57.6</v>
      </c>
      <c r="E131" s="4">
        <v>68</v>
      </c>
      <c r="F131" s="4">
        <v>39.200000000000003</v>
      </c>
      <c r="G131" s="4">
        <f t="shared" ref="G131:G194" si="28">F131-E131</f>
        <v>-28.799999999999997</v>
      </c>
      <c r="H131" s="4" t="str">
        <f t="shared" ref="H131:H194" si="29">IF(G131&lt;0,"Decline","improved")</f>
        <v>Decline</v>
      </c>
      <c r="I131" t="str">
        <f t="shared" si="21"/>
        <v>50-60</v>
      </c>
      <c r="J131" t="str">
        <f t="shared" si="24"/>
        <v>10-12</v>
      </c>
      <c r="K131" t="str">
        <f t="shared" si="25"/>
        <v>Fail</v>
      </c>
      <c r="L131" t="str">
        <f t="shared" si="26"/>
        <v>Pass</v>
      </c>
      <c r="M131" t="str">
        <f t="shared" si="27"/>
        <v>Increase</v>
      </c>
    </row>
    <row r="132" spans="1:13" ht="14.4" x14ac:dyDescent="0.3">
      <c r="A132" t="s">
        <v>130</v>
      </c>
      <c r="B132" s="4">
        <v>4.4000000000000004</v>
      </c>
      <c r="C132" s="4">
        <v>5.4</v>
      </c>
      <c r="D132" s="4">
        <v>56.3</v>
      </c>
      <c r="E132" s="4">
        <v>59</v>
      </c>
      <c r="F132" s="4">
        <v>32.9</v>
      </c>
      <c r="G132" s="4">
        <f t="shared" si="28"/>
        <v>-26.1</v>
      </c>
      <c r="H132" s="4" t="str">
        <f t="shared" si="29"/>
        <v>Decline</v>
      </c>
      <c r="I132" t="str">
        <f t="shared" si="21"/>
        <v>50-60</v>
      </c>
      <c r="J132" t="str">
        <f t="shared" si="24"/>
        <v>4-6</v>
      </c>
      <c r="K132" t="str">
        <f t="shared" si="25"/>
        <v>Fail</v>
      </c>
      <c r="L132" t="str">
        <f t="shared" si="26"/>
        <v>Pass</v>
      </c>
      <c r="M132" t="str">
        <f t="shared" si="27"/>
        <v>Increase</v>
      </c>
    </row>
    <row r="133" spans="1:13" ht="14.4" x14ac:dyDescent="0.3">
      <c r="A133" t="s">
        <v>139</v>
      </c>
      <c r="B133" s="4">
        <v>2.4</v>
      </c>
      <c r="C133" s="4">
        <v>3.4</v>
      </c>
      <c r="D133" s="4">
        <v>55.7</v>
      </c>
      <c r="E133" s="4">
        <v>87</v>
      </c>
      <c r="F133" s="4">
        <v>29.9</v>
      </c>
      <c r="G133" s="4">
        <f t="shared" si="28"/>
        <v>-57.1</v>
      </c>
      <c r="H133" s="4" t="str">
        <f t="shared" si="29"/>
        <v>Decline</v>
      </c>
      <c r="I133" t="str">
        <f t="shared" si="21"/>
        <v>50-60</v>
      </c>
      <c r="J133" t="str">
        <f t="shared" si="24"/>
        <v>1-3</v>
      </c>
      <c r="K133" t="str">
        <f t="shared" si="25"/>
        <v>Fail</v>
      </c>
      <c r="L133" t="str">
        <f t="shared" si="26"/>
        <v>Pass</v>
      </c>
      <c r="M133" t="str">
        <f t="shared" si="27"/>
        <v>Increase</v>
      </c>
    </row>
    <row r="134" spans="1:13" ht="14.4" x14ac:dyDescent="0.3">
      <c r="A134" t="s">
        <v>132</v>
      </c>
      <c r="B134" s="4">
        <v>10.7</v>
      </c>
      <c r="C134" s="4">
        <v>11.7</v>
      </c>
      <c r="D134" s="4">
        <v>78.2</v>
      </c>
      <c r="E134" s="4">
        <v>77</v>
      </c>
      <c r="F134" s="4">
        <v>45.7</v>
      </c>
      <c r="G134" s="4">
        <f t="shared" si="28"/>
        <v>-31.299999999999997</v>
      </c>
      <c r="H134" s="4" t="str">
        <f t="shared" si="29"/>
        <v>Decline</v>
      </c>
      <c r="I134" t="str">
        <f t="shared" si="21"/>
        <v>71-80</v>
      </c>
      <c r="J134" t="str">
        <f t="shared" si="24"/>
        <v>10-12</v>
      </c>
      <c r="K134" t="str">
        <f t="shared" si="25"/>
        <v>Pass</v>
      </c>
      <c r="L134" t="str">
        <f t="shared" si="26"/>
        <v>Pass</v>
      </c>
      <c r="M134" t="str">
        <f t="shared" si="27"/>
        <v>Increase</v>
      </c>
    </row>
    <row r="135" spans="1:13" ht="14.4" x14ac:dyDescent="0.3">
      <c r="A135" t="s">
        <v>133</v>
      </c>
      <c r="B135" s="4">
        <v>11.4</v>
      </c>
      <c r="C135" s="4">
        <v>12.4</v>
      </c>
      <c r="D135" s="4">
        <v>60.9</v>
      </c>
      <c r="E135" s="4">
        <v>67</v>
      </c>
      <c r="F135" s="4">
        <v>40.799999999999997</v>
      </c>
      <c r="G135" s="4">
        <f t="shared" si="28"/>
        <v>-26.200000000000003</v>
      </c>
      <c r="H135" s="4" t="str">
        <f t="shared" si="29"/>
        <v>Decline</v>
      </c>
      <c r="I135" t="str">
        <f t="shared" si="21"/>
        <v>50-60</v>
      </c>
      <c r="J135" t="str">
        <f t="shared" ref="J135:J166" si="30">IF(AND(C135&gt;=1,C135&lt;=3.9),"1-3",IF(AND(C135&gt;=4,C135&lt;=6.9),"4-6",IF(AND(C135&gt;=7,C135&lt;=9.9),"7-9",IF(AND(C135&gt;=10,C135&lt;=12.9),"10-12",IF(AND(C135&gt;=13,C135&lt;=14),"13-14")))))</f>
        <v>10-12</v>
      </c>
      <c r="K135" t="str">
        <f t="shared" si="25"/>
        <v>Pass</v>
      </c>
      <c r="L135" t="str">
        <f t="shared" si="26"/>
        <v>Pass</v>
      </c>
      <c r="M135" t="str">
        <f t="shared" si="27"/>
        <v>Increase</v>
      </c>
    </row>
    <row r="136" spans="1:13" ht="14.4" x14ac:dyDescent="0.3">
      <c r="A136" t="s">
        <v>165</v>
      </c>
      <c r="B136" s="4">
        <v>1.8</v>
      </c>
      <c r="C136" s="4">
        <v>2.8</v>
      </c>
      <c r="D136" s="4">
        <v>91.1</v>
      </c>
      <c r="E136" s="4">
        <v>58</v>
      </c>
      <c r="F136" s="4">
        <v>30.1</v>
      </c>
      <c r="G136" s="4">
        <f t="shared" si="28"/>
        <v>-27.9</v>
      </c>
      <c r="H136" s="4" t="str">
        <f t="shared" si="29"/>
        <v>Decline</v>
      </c>
      <c r="I136" t="str">
        <f t="shared" si="21"/>
        <v>91-100</v>
      </c>
      <c r="J136" t="str">
        <f t="shared" si="30"/>
        <v>1-3</v>
      </c>
      <c r="K136" t="str">
        <f t="shared" si="25"/>
        <v>Fail</v>
      </c>
      <c r="L136" t="str">
        <f t="shared" si="26"/>
        <v>Pass</v>
      </c>
      <c r="M136" t="str">
        <f t="shared" si="27"/>
        <v>Increase</v>
      </c>
    </row>
    <row r="137" spans="1:13" ht="14.4" x14ac:dyDescent="0.3">
      <c r="A137" t="s">
        <v>135</v>
      </c>
      <c r="B137" s="4">
        <v>6.3</v>
      </c>
      <c r="C137" s="4">
        <v>7.3</v>
      </c>
      <c r="D137" s="4">
        <v>88.3</v>
      </c>
      <c r="E137" s="4">
        <v>76</v>
      </c>
      <c r="F137" s="4">
        <v>41.1</v>
      </c>
      <c r="G137" s="4">
        <f t="shared" si="28"/>
        <v>-34.9</v>
      </c>
      <c r="H137" s="4" t="str">
        <f t="shared" si="29"/>
        <v>Decline</v>
      </c>
      <c r="I137" t="str">
        <f t="shared" si="21"/>
        <v>81-90</v>
      </c>
      <c r="J137" t="str">
        <f t="shared" si="30"/>
        <v>7-9</v>
      </c>
      <c r="K137" t="str">
        <f t="shared" si="25"/>
        <v>Pass</v>
      </c>
      <c r="L137" t="str">
        <f t="shared" si="26"/>
        <v>Pass</v>
      </c>
      <c r="M137" t="str">
        <f t="shared" si="27"/>
        <v>Increase</v>
      </c>
    </row>
    <row r="138" spans="1:13" ht="14.4" x14ac:dyDescent="0.3">
      <c r="A138" t="s">
        <v>13</v>
      </c>
      <c r="B138" s="4">
        <v>3.2</v>
      </c>
      <c r="C138" s="4">
        <v>4.2</v>
      </c>
      <c r="D138" s="4">
        <v>61.2</v>
      </c>
      <c r="E138" s="4">
        <v>68</v>
      </c>
      <c r="F138" s="4">
        <v>30.2</v>
      </c>
      <c r="G138" s="4">
        <f t="shared" si="28"/>
        <v>-37.799999999999997</v>
      </c>
      <c r="H138" s="4" t="str">
        <f t="shared" si="29"/>
        <v>Decline</v>
      </c>
      <c r="I138" t="str">
        <f t="shared" si="21"/>
        <v>61-70</v>
      </c>
      <c r="J138" t="str">
        <f t="shared" si="30"/>
        <v>4-6</v>
      </c>
      <c r="K138" t="str">
        <f t="shared" si="25"/>
        <v>Fail</v>
      </c>
      <c r="L138" t="str">
        <f t="shared" si="26"/>
        <v>Pass</v>
      </c>
      <c r="M138" t="str">
        <f t="shared" si="27"/>
        <v>Increase</v>
      </c>
    </row>
    <row r="139" spans="1:13" ht="14.4" x14ac:dyDescent="0.3">
      <c r="A139" t="s">
        <v>137</v>
      </c>
      <c r="B139" s="4">
        <v>9.4</v>
      </c>
      <c r="C139" s="4">
        <v>10.4</v>
      </c>
      <c r="D139" s="4">
        <v>80.400000000000006</v>
      </c>
      <c r="E139" s="4">
        <v>43</v>
      </c>
      <c r="F139" s="4">
        <v>35.1</v>
      </c>
      <c r="G139" s="4">
        <f t="shared" si="28"/>
        <v>-7.8999999999999986</v>
      </c>
      <c r="H139" s="4" t="str">
        <f t="shared" si="29"/>
        <v>Decline</v>
      </c>
      <c r="I139" t="str">
        <f t="shared" si="21"/>
        <v>71-80</v>
      </c>
      <c r="J139" t="str">
        <f t="shared" si="30"/>
        <v>10-12</v>
      </c>
      <c r="K139" t="str">
        <f t="shared" si="25"/>
        <v>Fail</v>
      </c>
      <c r="L139" t="str">
        <f t="shared" si="26"/>
        <v>Fail</v>
      </c>
      <c r="M139" t="str">
        <f t="shared" si="27"/>
        <v>Increase</v>
      </c>
    </row>
    <row r="140" spans="1:13" ht="14.4" x14ac:dyDescent="0.3">
      <c r="A140" t="s">
        <v>138</v>
      </c>
      <c r="B140" s="4">
        <v>9.4</v>
      </c>
      <c r="C140" s="4">
        <v>10.4</v>
      </c>
      <c r="D140" s="4">
        <v>87.4</v>
      </c>
      <c r="E140" s="4">
        <v>79</v>
      </c>
      <c r="F140" s="4">
        <v>39.9</v>
      </c>
      <c r="G140" s="4">
        <f t="shared" si="28"/>
        <v>-39.1</v>
      </c>
      <c r="H140" s="4" t="str">
        <f t="shared" si="29"/>
        <v>Decline</v>
      </c>
      <c r="I140" t="str">
        <f t="shared" si="21"/>
        <v>81-90</v>
      </c>
      <c r="J140" t="str">
        <f t="shared" si="30"/>
        <v>10-12</v>
      </c>
      <c r="K140" t="str">
        <f t="shared" si="25"/>
        <v>Fail</v>
      </c>
      <c r="L140" t="str">
        <f t="shared" si="26"/>
        <v>Pass</v>
      </c>
      <c r="M140" t="str">
        <f t="shared" si="27"/>
        <v>Increase</v>
      </c>
    </row>
    <row r="141" spans="1:13" ht="14.4" x14ac:dyDescent="0.3">
      <c r="A141" t="s">
        <v>134</v>
      </c>
      <c r="B141" s="4">
        <v>1.9</v>
      </c>
      <c r="C141" s="4">
        <v>2.9</v>
      </c>
      <c r="D141" s="4">
        <v>85</v>
      </c>
      <c r="E141" s="4">
        <v>59</v>
      </c>
      <c r="F141" s="4">
        <v>30.6</v>
      </c>
      <c r="G141" s="4">
        <f t="shared" si="28"/>
        <v>-28.4</v>
      </c>
      <c r="H141" s="4" t="str">
        <f t="shared" si="29"/>
        <v>Decline</v>
      </c>
      <c r="I141" t="str">
        <f t="shared" ref="I141:I201" si="31">IF(AND(D141&gt;=50,D141&lt;=60.9),"50-60",IF(AND(D141&gt;=61,D141&lt;=70.9),"61-70",IF(AND(D141&gt;=71,D141&lt;=80.9),"71-80",IF(AND(D141&gt;=81,D141&lt;=90.9),"81-90",IF(AND(D141&gt;=91,D141&lt;=100),"91-100")))))</f>
        <v>81-90</v>
      </c>
      <c r="J141" t="str">
        <f t="shared" si="30"/>
        <v>1-3</v>
      </c>
      <c r="K141" t="str">
        <f t="shared" si="25"/>
        <v>Fail</v>
      </c>
      <c r="L141" t="str">
        <f t="shared" si="26"/>
        <v>Pass</v>
      </c>
      <c r="M141" t="str">
        <f t="shared" si="27"/>
        <v>Increase</v>
      </c>
    </row>
    <row r="142" spans="1:13" ht="14.4" x14ac:dyDescent="0.3">
      <c r="A142" t="s">
        <v>140</v>
      </c>
      <c r="B142" s="4">
        <v>6.2</v>
      </c>
      <c r="C142" s="4">
        <v>7.2</v>
      </c>
      <c r="D142" s="4">
        <v>91</v>
      </c>
      <c r="E142" s="4">
        <v>46</v>
      </c>
      <c r="F142" s="4">
        <v>35</v>
      </c>
      <c r="G142" s="4">
        <f t="shared" si="28"/>
        <v>-11</v>
      </c>
      <c r="H142" s="4" t="str">
        <f t="shared" si="29"/>
        <v>Decline</v>
      </c>
      <c r="I142" t="str">
        <f t="shared" si="31"/>
        <v>91-100</v>
      </c>
      <c r="J142" t="str">
        <f t="shared" si="30"/>
        <v>7-9</v>
      </c>
      <c r="K142" t="str">
        <f t="shared" si="25"/>
        <v>Fail</v>
      </c>
      <c r="L142" t="str">
        <f t="shared" si="26"/>
        <v>Fail</v>
      </c>
      <c r="M142" t="str">
        <f t="shared" si="27"/>
        <v>Increase</v>
      </c>
    </row>
    <row r="143" spans="1:13" ht="14.4" x14ac:dyDescent="0.3">
      <c r="A143" t="s">
        <v>141</v>
      </c>
      <c r="B143" s="4">
        <v>7</v>
      </c>
      <c r="C143" s="4">
        <v>8</v>
      </c>
      <c r="D143" s="4">
        <v>98.2</v>
      </c>
      <c r="E143" s="4">
        <v>88</v>
      </c>
      <c r="F143" s="4">
        <v>43.3</v>
      </c>
      <c r="G143" s="4">
        <f t="shared" si="28"/>
        <v>-44.7</v>
      </c>
      <c r="H143" s="4" t="str">
        <f t="shared" si="29"/>
        <v>Decline</v>
      </c>
      <c r="I143" t="str">
        <f t="shared" si="31"/>
        <v>91-100</v>
      </c>
      <c r="J143" t="str">
        <f t="shared" si="30"/>
        <v>7-9</v>
      </c>
      <c r="K143" t="str">
        <f t="shared" si="25"/>
        <v>Pass</v>
      </c>
      <c r="L143" t="str">
        <f t="shared" si="26"/>
        <v>Pass</v>
      </c>
      <c r="M143" t="str">
        <f t="shared" si="27"/>
        <v>Increase</v>
      </c>
    </row>
    <row r="144" spans="1:13" ht="14.4" x14ac:dyDescent="0.3">
      <c r="A144" t="s">
        <v>142</v>
      </c>
      <c r="B144" s="4">
        <v>3.9</v>
      </c>
      <c r="C144" s="4">
        <v>4.9000000000000004</v>
      </c>
      <c r="D144" s="4">
        <v>55.4</v>
      </c>
      <c r="E144" s="4">
        <v>53</v>
      </c>
      <c r="F144" s="4">
        <v>19</v>
      </c>
      <c r="G144" s="4">
        <f t="shared" si="28"/>
        <v>-34</v>
      </c>
      <c r="H144" s="4" t="str">
        <f t="shared" si="29"/>
        <v>Decline</v>
      </c>
      <c r="I144" t="str">
        <f t="shared" si="31"/>
        <v>50-60</v>
      </c>
      <c r="J144" t="str">
        <f t="shared" si="30"/>
        <v>4-6</v>
      </c>
      <c r="K144" t="str">
        <f t="shared" si="25"/>
        <v>Fail</v>
      </c>
      <c r="L144" t="str">
        <f t="shared" si="26"/>
        <v>Pass</v>
      </c>
      <c r="M144" t="str">
        <f t="shared" si="27"/>
        <v>Increase</v>
      </c>
    </row>
    <row r="145" spans="1:13" ht="14.4" x14ac:dyDescent="0.3">
      <c r="A145" t="s">
        <v>143</v>
      </c>
      <c r="B145" s="4">
        <v>10.6</v>
      </c>
      <c r="C145" s="4">
        <v>11.6</v>
      </c>
      <c r="D145" s="4">
        <v>51.3</v>
      </c>
      <c r="E145" s="4">
        <v>80</v>
      </c>
      <c r="F145" s="4">
        <v>35.1</v>
      </c>
      <c r="G145" s="4">
        <f t="shared" si="28"/>
        <v>-44.9</v>
      </c>
      <c r="H145" s="4" t="str">
        <f t="shared" si="29"/>
        <v>Decline</v>
      </c>
      <c r="I145" t="str">
        <f t="shared" si="31"/>
        <v>50-60</v>
      </c>
      <c r="J145" t="str">
        <f t="shared" si="30"/>
        <v>10-12</v>
      </c>
      <c r="K145" t="str">
        <f t="shared" si="25"/>
        <v>Fail</v>
      </c>
      <c r="L145" t="str">
        <f t="shared" si="26"/>
        <v>Pass</v>
      </c>
      <c r="M145" t="str">
        <f t="shared" si="27"/>
        <v>Increase</v>
      </c>
    </row>
    <row r="146" spans="1:13" ht="14.4" x14ac:dyDescent="0.3">
      <c r="A146" t="s">
        <v>144</v>
      </c>
      <c r="B146" s="4">
        <v>5.7</v>
      </c>
      <c r="C146" s="4">
        <v>6.7</v>
      </c>
      <c r="D146" s="4">
        <v>65.599999999999994</v>
      </c>
      <c r="E146" s="4">
        <v>53</v>
      </c>
      <c r="F146" s="4">
        <v>29.9</v>
      </c>
      <c r="G146" s="4">
        <f t="shared" si="28"/>
        <v>-23.1</v>
      </c>
      <c r="H146" s="4" t="str">
        <f t="shared" si="29"/>
        <v>Decline</v>
      </c>
      <c r="I146" t="str">
        <f t="shared" si="31"/>
        <v>61-70</v>
      </c>
      <c r="J146" t="str">
        <f t="shared" si="30"/>
        <v>4-6</v>
      </c>
      <c r="K146" t="str">
        <f t="shared" si="25"/>
        <v>Fail</v>
      </c>
      <c r="L146" t="str">
        <f t="shared" si="26"/>
        <v>Pass</v>
      </c>
      <c r="M146" t="str">
        <f t="shared" si="27"/>
        <v>Increase</v>
      </c>
    </row>
    <row r="147" spans="1:13" ht="14.4" x14ac:dyDescent="0.3">
      <c r="A147" t="s">
        <v>51</v>
      </c>
      <c r="B147" s="4">
        <v>3.3</v>
      </c>
      <c r="C147" s="4">
        <v>4.3</v>
      </c>
      <c r="D147" s="4">
        <v>87.2</v>
      </c>
      <c r="E147" s="4">
        <v>52</v>
      </c>
      <c r="F147" s="4">
        <v>30.7</v>
      </c>
      <c r="G147" s="4">
        <f t="shared" si="28"/>
        <v>-21.3</v>
      </c>
      <c r="H147" s="4" t="str">
        <f t="shared" si="29"/>
        <v>Decline</v>
      </c>
      <c r="I147" t="str">
        <f t="shared" si="31"/>
        <v>81-90</v>
      </c>
      <c r="J147" t="str">
        <f t="shared" si="30"/>
        <v>4-6</v>
      </c>
      <c r="K147" t="str">
        <f t="shared" si="25"/>
        <v>Fail</v>
      </c>
      <c r="L147" t="str">
        <f t="shared" si="26"/>
        <v>Pass</v>
      </c>
      <c r="M147" t="str">
        <f t="shared" si="27"/>
        <v>Increase</v>
      </c>
    </row>
    <row r="148" spans="1:13" ht="14.4" x14ac:dyDescent="0.3">
      <c r="A148" t="s">
        <v>146</v>
      </c>
      <c r="B148" s="4">
        <v>6.9</v>
      </c>
      <c r="C148" s="4">
        <v>7.9</v>
      </c>
      <c r="D148" s="4">
        <v>97.9</v>
      </c>
      <c r="E148" s="4">
        <v>82</v>
      </c>
      <c r="F148" s="4">
        <v>45.8</v>
      </c>
      <c r="G148" s="4">
        <f t="shared" si="28"/>
        <v>-36.200000000000003</v>
      </c>
      <c r="H148" s="4" t="str">
        <f t="shared" si="29"/>
        <v>Decline</v>
      </c>
      <c r="I148" t="str">
        <f t="shared" si="31"/>
        <v>91-100</v>
      </c>
      <c r="J148" t="str">
        <f t="shared" si="30"/>
        <v>7-9</v>
      </c>
      <c r="K148" t="str">
        <f t="shared" si="25"/>
        <v>Pass</v>
      </c>
      <c r="L148" t="str">
        <f t="shared" si="26"/>
        <v>Pass</v>
      </c>
      <c r="M148" t="str">
        <f t="shared" si="27"/>
        <v>Increase</v>
      </c>
    </row>
    <row r="149" spans="1:13" ht="14.4" x14ac:dyDescent="0.3">
      <c r="A149" t="s">
        <v>147</v>
      </c>
      <c r="B149" s="4">
        <v>9</v>
      </c>
      <c r="C149" s="4">
        <v>10</v>
      </c>
      <c r="D149" s="4">
        <v>69.8</v>
      </c>
      <c r="E149" s="4">
        <v>45</v>
      </c>
      <c r="F149" s="4">
        <v>35.5</v>
      </c>
      <c r="G149" s="4">
        <f t="shared" si="28"/>
        <v>-9.5</v>
      </c>
      <c r="H149" s="4" t="str">
        <f t="shared" si="29"/>
        <v>Decline</v>
      </c>
      <c r="I149" t="str">
        <f t="shared" si="31"/>
        <v>61-70</v>
      </c>
      <c r="J149" t="str">
        <f t="shared" si="30"/>
        <v>10-12</v>
      </c>
      <c r="K149" t="str">
        <f t="shared" si="25"/>
        <v>Fail</v>
      </c>
      <c r="L149" t="str">
        <f t="shared" si="26"/>
        <v>Fail</v>
      </c>
      <c r="M149" t="str">
        <f t="shared" si="27"/>
        <v>Increase</v>
      </c>
    </row>
    <row r="150" spans="1:13" ht="14.4" x14ac:dyDescent="0.3">
      <c r="A150" t="s">
        <v>176</v>
      </c>
      <c r="B150" s="4">
        <v>2.1</v>
      </c>
      <c r="C150" s="4">
        <v>3.1</v>
      </c>
      <c r="D150" s="4">
        <v>76.900000000000006</v>
      </c>
      <c r="E150" s="4">
        <v>77</v>
      </c>
      <c r="F150" s="4">
        <v>30.7</v>
      </c>
      <c r="G150" s="4">
        <f t="shared" si="28"/>
        <v>-46.3</v>
      </c>
      <c r="H150" s="4" t="str">
        <f t="shared" si="29"/>
        <v>Decline</v>
      </c>
      <c r="I150" t="str">
        <f t="shared" si="31"/>
        <v>71-80</v>
      </c>
      <c r="J150" t="str">
        <f t="shared" si="30"/>
        <v>1-3</v>
      </c>
      <c r="K150" t="str">
        <f t="shared" si="25"/>
        <v>Fail</v>
      </c>
      <c r="L150" t="str">
        <f t="shared" si="26"/>
        <v>Pass</v>
      </c>
      <c r="M150" t="str">
        <f t="shared" si="27"/>
        <v>Increase</v>
      </c>
    </row>
    <row r="151" spans="1:13" ht="14.4" x14ac:dyDescent="0.3">
      <c r="A151" t="s">
        <v>149</v>
      </c>
      <c r="B151" s="4">
        <v>4.4000000000000004</v>
      </c>
      <c r="C151" s="4">
        <v>5.4</v>
      </c>
      <c r="D151" s="4">
        <v>53.8</v>
      </c>
      <c r="E151" s="4">
        <v>55</v>
      </c>
      <c r="F151" s="4">
        <v>21.9</v>
      </c>
      <c r="G151" s="4">
        <f t="shared" si="28"/>
        <v>-33.1</v>
      </c>
      <c r="H151" s="4" t="str">
        <f t="shared" si="29"/>
        <v>Decline</v>
      </c>
      <c r="I151" t="str">
        <f t="shared" si="31"/>
        <v>50-60</v>
      </c>
      <c r="J151" t="str">
        <f t="shared" si="30"/>
        <v>4-6</v>
      </c>
      <c r="K151" t="str">
        <f t="shared" si="25"/>
        <v>Fail</v>
      </c>
      <c r="L151" t="str">
        <f t="shared" si="26"/>
        <v>Pass</v>
      </c>
      <c r="M151" t="str">
        <f t="shared" si="27"/>
        <v>Increase</v>
      </c>
    </row>
    <row r="152" spans="1:13" ht="14.4" x14ac:dyDescent="0.3">
      <c r="A152" t="s">
        <v>150</v>
      </c>
      <c r="B152" s="4">
        <v>11.9</v>
      </c>
      <c r="C152" s="4">
        <v>12.9</v>
      </c>
      <c r="D152" s="4">
        <v>84.5</v>
      </c>
      <c r="E152" s="4">
        <v>51</v>
      </c>
      <c r="F152" s="4">
        <v>44.1</v>
      </c>
      <c r="G152" s="4">
        <f t="shared" si="28"/>
        <v>-6.8999999999999986</v>
      </c>
      <c r="H152" s="4" t="str">
        <f t="shared" si="29"/>
        <v>Decline</v>
      </c>
      <c r="I152" t="str">
        <f t="shared" si="31"/>
        <v>81-90</v>
      </c>
      <c r="J152" t="str">
        <f t="shared" si="30"/>
        <v>10-12</v>
      </c>
      <c r="K152" t="str">
        <f t="shared" si="25"/>
        <v>Pass</v>
      </c>
      <c r="L152" t="str">
        <f t="shared" si="26"/>
        <v>Pass</v>
      </c>
      <c r="M152" t="str">
        <f t="shared" si="27"/>
        <v>Increase</v>
      </c>
    </row>
    <row r="153" spans="1:13" ht="14.4" x14ac:dyDescent="0.3">
      <c r="A153" t="s">
        <v>151</v>
      </c>
      <c r="B153" s="4">
        <v>8.1</v>
      </c>
      <c r="C153" s="4">
        <v>9.1</v>
      </c>
      <c r="D153" s="4">
        <v>81.400000000000006</v>
      </c>
      <c r="E153" s="4">
        <v>75</v>
      </c>
      <c r="F153" s="4">
        <v>42.3</v>
      </c>
      <c r="G153" s="4">
        <f t="shared" si="28"/>
        <v>-32.700000000000003</v>
      </c>
      <c r="H153" s="4" t="str">
        <f t="shared" si="29"/>
        <v>Decline</v>
      </c>
      <c r="I153" t="str">
        <f t="shared" si="31"/>
        <v>81-90</v>
      </c>
      <c r="J153" t="str">
        <f t="shared" si="30"/>
        <v>7-9</v>
      </c>
      <c r="K153" t="str">
        <f t="shared" si="25"/>
        <v>Pass</v>
      </c>
      <c r="L153" t="str">
        <f t="shared" si="26"/>
        <v>Pass</v>
      </c>
      <c r="M153" t="str">
        <f t="shared" si="27"/>
        <v>Increase</v>
      </c>
    </row>
    <row r="154" spans="1:13" ht="14.4" x14ac:dyDescent="0.3">
      <c r="A154" t="s">
        <v>152</v>
      </c>
      <c r="B154" s="4">
        <v>5.8</v>
      </c>
      <c r="C154" s="4">
        <v>6.8</v>
      </c>
      <c r="D154" s="4">
        <v>55.1</v>
      </c>
      <c r="E154" s="4">
        <v>44</v>
      </c>
      <c r="F154" s="4">
        <v>27.7</v>
      </c>
      <c r="G154" s="4">
        <f t="shared" si="28"/>
        <v>-16.3</v>
      </c>
      <c r="H154" s="4" t="str">
        <f t="shared" si="29"/>
        <v>Decline</v>
      </c>
      <c r="I154" t="str">
        <f t="shared" si="31"/>
        <v>50-60</v>
      </c>
      <c r="J154" t="str">
        <f t="shared" si="30"/>
        <v>4-6</v>
      </c>
      <c r="K154" t="str">
        <f t="shared" si="25"/>
        <v>Fail</v>
      </c>
      <c r="L154" t="str">
        <f t="shared" si="26"/>
        <v>Fail</v>
      </c>
      <c r="M154" t="str">
        <f t="shared" si="27"/>
        <v>Increase</v>
      </c>
    </row>
    <row r="155" spans="1:13" ht="14.4" x14ac:dyDescent="0.3">
      <c r="A155" t="s">
        <v>153</v>
      </c>
      <c r="B155" s="4">
        <v>6.7</v>
      </c>
      <c r="C155" s="4">
        <v>7.7</v>
      </c>
      <c r="D155" s="4">
        <v>88.6</v>
      </c>
      <c r="E155" s="4">
        <v>50</v>
      </c>
      <c r="F155" s="4">
        <v>33.4</v>
      </c>
      <c r="G155" s="4">
        <f t="shared" si="28"/>
        <v>-16.600000000000001</v>
      </c>
      <c r="H155" s="4" t="str">
        <f t="shared" si="29"/>
        <v>Decline</v>
      </c>
      <c r="I155" t="str">
        <f t="shared" si="31"/>
        <v>81-90</v>
      </c>
      <c r="J155" t="str">
        <f t="shared" si="30"/>
        <v>7-9</v>
      </c>
      <c r="K155" t="str">
        <f t="shared" si="25"/>
        <v>Fail</v>
      </c>
      <c r="L155" t="str">
        <f t="shared" si="26"/>
        <v>Pass</v>
      </c>
      <c r="M155" t="str">
        <f t="shared" si="27"/>
        <v>Increase</v>
      </c>
    </row>
    <row r="156" spans="1:13" ht="14.4" x14ac:dyDescent="0.3">
      <c r="A156" t="s">
        <v>12</v>
      </c>
      <c r="B156" s="4">
        <v>1.3</v>
      </c>
      <c r="C156" s="4">
        <v>2.2999999999999998</v>
      </c>
      <c r="D156" s="4">
        <v>83.6</v>
      </c>
      <c r="E156" s="4">
        <v>71</v>
      </c>
      <c r="F156" s="4">
        <v>31.2</v>
      </c>
      <c r="G156" s="4">
        <f t="shared" si="28"/>
        <v>-39.799999999999997</v>
      </c>
      <c r="H156" s="4" t="str">
        <f t="shared" si="29"/>
        <v>Decline</v>
      </c>
      <c r="I156" t="str">
        <f t="shared" si="31"/>
        <v>81-90</v>
      </c>
      <c r="J156" t="str">
        <f t="shared" si="30"/>
        <v>1-3</v>
      </c>
      <c r="K156" t="str">
        <f t="shared" si="25"/>
        <v>Fail</v>
      </c>
      <c r="L156" t="str">
        <f t="shared" si="26"/>
        <v>Pass</v>
      </c>
      <c r="M156" t="str">
        <f t="shared" si="27"/>
        <v>Increase</v>
      </c>
    </row>
    <row r="157" spans="1:13" ht="14.4" x14ac:dyDescent="0.3">
      <c r="A157" t="s">
        <v>155</v>
      </c>
      <c r="B157" s="4">
        <v>3.5</v>
      </c>
      <c r="C157" s="4">
        <v>4.5</v>
      </c>
      <c r="D157" s="4">
        <v>80</v>
      </c>
      <c r="E157" s="4">
        <v>66</v>
      </c>
      <c r="F157" s="4">
        <v>23.6</v>
      </c>
      <c r="G157" s="4">
        <f t="shared" si="28"/>
        <v>-42.4</v>
      </c>
      <c r="H157" s="4" t="str">
        <f t="shared" si="29"/>
        <v>Decline</v>
      </c>
      <c r="I157" t="str">
        <f t="shared" si="31"/>
        <v>71-80</v>
      </c>
      <c r="J157" t="str">
        <f t="shared" si="30"/>
        <v>4-6</v>
      </c>
      <c r="K157" t="str">
        <f t="shared" si="25"/>
        <v>Fail</v>
      </c>
      <c r="L157" t="str">
        <f t="shared" si="26"/>
        <v>Pass</v>
      </c>
      <c r="M157" t="str">
        <f t="shared" si="27"/>
        <v>Increase</v>
      </c>
    </row>
    <row r="158" spans="1:13" ht="14.4" x14ac:dyDescent="0.3">
      <c r="A158" t="s">
        <v>156</v>
      </c>
      <c r="B158" s="4">
        <v>4.7</v>
      </c>
      <c r="C158" s="4">
        <v>5.7</v>
      </c>
      <c r="D158" s="4">
        <v>56.1</v>
      </c>
      <c r="E158" s="4">
        <v>68</v>
      </c>
      <c r="F158" s="4">
        <v>33.6</v>
      </c>
      <c r="G158" s="4">
        <f t="shared" si="28"/>
        <v>-34.4</v>
      </c>
      <c r="H158" s="4" t="str">
        <f t="shared" si="29"/>
        <v>Decline</v>
      </c>
      <c r="I158" t="str">
        <f t="shared" si="31"/>
        <v>50-60</v>
      </c>
      <c r="J158" t="str">
        <f t="shared" si="30"/>
        <v>4-6</v>
      </c>
      <c r="K158" t="str">
        <f t="shared" si="25"/>
        <v>Fail</v>
      </c>
      <c r="L158" t="str">
        <f t="shared" si="26"/>
        <v>Pass</v>
      </c>
      <c r="M158" t="str">
        <f t="shared" si="27"/>
        <v>Increase</v>
      </c>
    </row>
    <row r="159" spans="1:13" ht="14.4" x14ac:dyDescent="0.3">
      <c r="A159" t="s">
        <v>157</v>
      </c>
      <c r="B159" s="4">
        <v>7.5</v>
      </c>
      <c r="C159" s="4">
        <v>8.5</v>
      </c>
      <c r="D159" s="4">
        <v>99.2</v>
      </c>
      <c r="E159" s="4">
        <v>84</v>
      </c>
      <c r="F159" s="4">
        <v>37.9</v>
      </c>
      <c r="G159" s="4">
        <f t="shared" si="28"/>
        <v>-46.1</v>
      </c>
      <c r="H159" s="4" t="str">
        <f t="shared" si="29"/>
        <v>Decline</v>
      </c>
      <c r="I159" t="str">
        <f t="shared" si="31"/>
        <v>91-100</v>
      </c>
      <c r="J159" t="str">
        <f t="shared" si="30"/>
        <v>7-9</v>
      </c>
      <c r="K159" t="str">
        <f t="shared" si="25"/>
        <v>Fail</v>
      </c>
      <c r="L159" t="str">
        <f t="shared" si="26"/>
        <v>Pass</v>
      </c>
      <c r="M159" t="str">
        <f t="shared" si="27"/>
        <v>Increase</v>
      </c>
    </row>
    <row r="160" spans="1:13" ht="14.4" x14ac:dyDescent="0.3">
      <c r="A160" t="s">
        <v>158</v>
      </c>
      <c r="B160" s="4">
        <v>3.5</v>
      </c>
      <c r="C160" s="4">
        <v>4.5</v>
      </c>
      <c r="D160" s="4">
        <v>89.1</v>
      </c>
      <c r="E160" s="4">
        <v>78</v>
      </c>
      <c r="F160" s="4">
        <v>29.5</v>
      </c>
      <c r="G160" s="4">
        <f t="shared" si="28"/>
        <v>-48.5</v>
      </c>
      <c r="H160" s="4" t="str">
        <f t="shared" si="29"/>
        <v>Decline</v>
      </c>
      <c r="I160" t="str">
        <f t="shared" si="31"/>
        <v>81-90</v>
      </c>
      <c r="J160" t="str">
        <f t="shared" si="30"/>
        <v>4-6</v>
      </c>
      <c r="K160" t="str">
        <f t="shared" si="25"/>
        <v>Fail</v>
      </c>
      <c r="L160" t="str">
        <f t="shared" si="26"/>
        <v>Pass</v>
      </c>
      <c r="M160" t="str">
        <f t="shared" si="27"/>
        <v>Increase</v>
      </c>
    </row>
    <row r="161" spans="1:17" ht="14.4" x14ac:dyDescent="0.3">
      <c r="A161" t="s">
        <v>100</v>
      </c>
      <c r="B161" s="4">
        <v>1.1000000000000001</v>
      </c>
      <c r="C161" s="4">
        <v>2.1</v>
      </c>
      <c r="D161" s="4">
        <v>81.099999999999994</v>
      </c>
      <c r="E161" s="4">
        <v>92</v>
      </c>
      <c r="F161" s="4">
        <v>31.4</v>
      </c>
      <c r="G161" s="4">
        <f t="shared" si="28"/>
        <v>-60.6</v>
      </c>
      <c r="H161" s="4" t="str">
        <f t="shared" si="29"/>
        <v>Decline</v>
      </c>
      <c r="I161" t="str">
        <f t="shared" si="31"/>
        <v>81-90</v>
      </c>
      <c r="J161" t="str">
        <f t="shared" si="30"/>
        <v>1-3</v>
      </c>
      <c r="K161" t="str">
        <f t="shared" si="25"/>
        <v>Fail</v>
      </c>
      <c r="L161" t="str">
        <f t="shared" si="26"/>
        <v>Pass</v>
      </c>
      <c r="M161" t="str">
        <f t="shared" si="27"/>
        <v>Increase</v>
      </c>
    </row>
    <row r="162" spans="1:17" ht="14.4" x14ac:dyDescent="0.3">
      <c r="A162" t="s">
        <v>46</v>
      </c>
      <c r="B162" s="4">
        <v>2.1</v>
      </c>
      <c r="C162" s="4">
        <v>3.1</v>
      </c>
      <c r="D162" s="4">
        <v>86</v>
      </c>
      <c r="E162" s="4">
        <v>87</v>
      </c>
      <c r="F162" s="4">
        <v>31.6</v>
      </c>
      <c r="G162" s="4">
        <f t="shared" si="28"/>
        <v>-55.4</v>
      </c>
      <c r="H162" s="4" t="str">
        <f t="shared" si="29"/>
        <v>Decline</v>
      </c>
      <c r="I162" t="str">
        <f t="shared" si="31"/>
        <v>81-90</v>
      </c>
      <c r="J162" t="str">
        <f t="shared" si="30"/>
        <v>1-3</v>
      </c>
      <c r="K162" t="str">
        <f t="shared" ref="K162:K193" si="32">IF($F$2:$F$201&gt;=40,"Pass","Fail")</f>
        <v>Fail</v>
      </c>
      <c r="L162" t="str">
        <f t="shared" ref="L162:L193" si="33">IF($E$2:$E$201&gt;=50,"Pass","Fail")</f>
        <v>Pass</v>
      </c>
      <c r="M162" t="str">
        <f t="shared" si="27"/>
        <v>Increase</v>
      </c>
    </row>
    <row r="163" spans="1:17" ht="14.4" x14ac:dyDescent="0.3">
      <c r="A163" t="s">
        <v>161</v>
      </c>
      <c r="B163" s="4">
        <v>7.9</v>
      </c>
      <c r="C163" s="4">
        <v>8.9</v>
      </c>
      <c r="D163" s="4">
        <v>68.5</v>
      </c>
      <c r="E163" s="4">
        <v>42</v>
      </c>
      <c r="F163" s="4">
        <v>31.4</v>
      </c>
      <c r="G163" s="4">
        <f t="shared" si="28"/>
        <v>-10.600000000000001</v>
      </c>
      <c r="H163" s="4" t="str">
        <f t="shared" si="29"/>
        <v>Decline</v>
      </c>
      <c r="I163" t="str">
        <f t="shared" si="31"/>
        <v>61-70</v>
      </c>
      <c r="J163" t="str">
        <f t="shared" si="30"/>
        <v>7-9</v>
      </c>
      <c r="K163" t="str">
        <f t="shared" si="32"/>
        <v>Fail</v>
      </c>
      <c r="L163" t="str">
        <f t="shared" si="33"/>
        <v>Fail</v>
      </c>
      <c r="M163" t="str">
        <f t="shared" si="27"/>
        <v>Increase</v>
      </c>
    </row>
    <row r="164" spans="1:17" ht="14.4" x14ac:dyDescent="0.3">
      <c r="A164" t="s">
        <v>162</v>
      </c>
      <c r="B164" s="4">
        <v>3.5</v>
      </c>
      <c r="C164" s="4">
        <v>4.5</v>
      </c>
      <c r="D164" s="4">
        <v>75.3</v>
      </c>
      <c r="E164" s="4">
        <v>54</v>
      </c>
      <c r="F164" s="4">
        <v>30</v>
      </c>
      <c r="G164" s="4">
        <f t="shared" si="28"/>
        <v>-24</v>
      </c>
      <c r="H164" s="4" t="str">
        <f t="shared" si="29"/>
        <v>Decline</v>
      </c>
      <c r="I164" t="str">
        <f t="shared" si="31"/>
        <v>71-80</v>
      </c>
      <c r="J164" t="str">
        <f t="shared" si="30"/>
        <v>4-6</v>
      </c>
      <c r="K164" t="str">
        <f t="shared" si="32"/>
        <v>Fail</v>
      </c>
      <c r="L164" t="str">
        <f t="shared" si="33"/>
        <v>Pass</v>
      </c>
      <c r="M164" t="str">
        <f t="shared" si="27"/>
        <v>Increase</v>
      </c>
    </row>
    <row r="165" spans="1:17" ht="14.4" x14ac:dyDescent="0.3">
      <c r="A165" t="s">
        <v>163</v>
      </c>
      <c r="B165" s="4">
        <v>11</v>
      </c>
      <c r="C165" s="4">
        <v>12</v>
      </c>
      <c r="D165" s="4">
        <v>67.099999999999994</v>
      </c>
      <c r="E165" s="4">
        <v>58</v>
      </c>
      <c r="F165" s="4">
        <v>35.799999999999997</v>
      </c>
      <c r="G165" s="4">
        <f t="shared" si="28"/>
        <v>-22.200000000000003</v>
      </c>
      <c r="H165" s="4" t="str">
        <f t="shared" si="29"/>
        <v>Decline</v>
      </c>
      <c r="I165" t="str">
        <f t="shared" si="31"/>
        <v>61-70</v>
      </c>
      <c r="J165" t="str">
        <f t="shared" si="30"/>
        <v>10-12</v>
      </c>
      <c r="K165" t="str">
        <f t="shared" si="32"/>
        <v>Fail</v>
      </c>
      <c r="L165" t="str">
        <f t="shared" si="33"/>
        <v>Pass</v>
      </c>
      <c r="M165" t="str">
        <f t="shared" si="27"/>
        <v>Increase</v>
      </c>
    </row>
    <row r="166" spans="1:17" ht="14.4" x14ac:dyDescent="0.3">
      <c r="A166" t="s">
        <v>164</v>
      </c>
      <c r="B166" s="4">
        <v>10.5</v>
      </c>
      <c r="C166" s="4">
        <v>11.5</v>
      </c>
      <c r="D166" s="4">
        <v>92.5</v>
      </c>
      <c r="E166" s="4">
        <v>85</v>
      </c>
      <c r="F166" s="4">
        <v>40.6</v>
      </c>
      <c r="G166" s="4">
        <f t="shared" si="28"/>
        <v>-44.4</v>
      </c>
      <c r="H166" s="4" t="str">
        <f t="shared" si="29"/>
        <v>Decline</v>
      </c>
      <c r="I166" t="str">
        <f t="shared" si="31"/>
        <v>91-100</v>
      </c>
      <c r="J166" t="str">
        <f t="shared" si="30"/>
        <v>10-12</v>
      </c>
      <c r="K166" t="str">
        <f t="shared" si="32"/>
        <v>Pass</v>
      </c>
      <c r="L166" t="str">
        <f t="shared" si="33"/>
        <v>Pass</v>
      </c>
      <c r="M166" t="str">
        <f t="shared" si="27"/>
        <v>Increase</v>
      </c>
    </row>
    <row r="167" spans="1:17" ht="14.4" x14ac:dyDescent="0.3">
      <c r="A167" t="s">
        <v>168</v>
      </c>
      <c r="B167" s="4">
        <v>3.4</v>
      </c>
      <c r="C167" s="4">
        <v>4.4000000000000004</v>
      </c>
      <c r="D167" s="4">
        <v>81.8</v>
      </c>
      <c r="E167" s="4">
        <v>69</v>
      </c>
      <c r="F167" s="4">
        <v>32.1</v>
      </c>
      <c r="G167" s="4">
        <f t="shared" si="28"/>
        <v>-36.9</v>
      </c>
      <c r="H167" s="4" t="str">
        <f t="shared" si="29"/>
        <v>Decline</v>
      </c>
      <c r="I167" t="str">
        <f t="shared" si="31"/>
        <v>81-90</v>
      </c>
      <c r="J167" t="str">
        <f t="shared" ref="J167:J201" si="34">IF(AND(C167&gt;=1,C167&lt;=3.9),"1-3",IF(AND(C167&gt;=4,C167&lt;=6.9),"4-6",IF(AND(C167&gt;=7,C167&lt;=9.9),"7-9",IF(AND(C167&gt;=10,C167&lt;=12.9),"10-12",IF(AND(C167&gt;=13,C167&lt;=14),"13-14")))))</f>
        <v>4-6</v>
      </c>
      <c r="K167" t="str">
        <f t="shared" si="32"/>
        <v>Fail</v>
      </c>
      <c r="L167" t="str">
        <f t="shared" si="33"/>
        <v>Pass</v>
      </c>
      <c r="M167" t="str">
        <f t="shared" si="27"/>
        <v>Increase</v>
      </c>
    </row>
    <row r="168" spans="1:17" ht="14.4" x14ac:dyDescent="0.3">
      <c r="A168" t="s">
        <v>166</v>
      </c>
      <c r="B168" s="4">
        <v>3.6</v>
      </c>
      <c r="C168" s="4">
        <v>4.5999999999999996</v>
      </c>
      <c r="D168" s="4">
        <v>55.3</v>
      </c>
      <c r="E168" s="4">
        <v>84</v>
      </c>
      <c r="F168" s="4">
        <v>30.3</v>
      </c>
      <c r="G168" s="4">
        <f t="shared" si="28"/>
        <v>-53.7</v>
      </c>
      <c r="H168" s="4" t="str">
        <f t="shared" si="29"/>
        <v>Decline</v>
      </c>
      <c r="I168" t="str">
        <f t="shared" si="31"/>
        <v>50-60</v>
      </c>
      <c r="J168" t="str">
        <f t="shared" si="34"/>
        <v>4-6</v>
      </c>
      <c r="K168" t="str">
        <f t="shared" si="32"/>
        <v>Fail</v>
      </c>
      <c r="L168" t="str">
        <f t="shared" si="33"/>
        <v>Pass</v>
      </c>
      <c r="M168" t="str">
        <f t="shared" si="27"/>
        <v>Increase</v>
      </c>
    </row>
    <row r="169" spans="1:17" ht="14.4" x14ac:dyDescent="0.3">
      <c r="A169" t="s">
        <v>167</v>
      </c>
      <c r="B169" s="4">
        <v>8.4</v>
      </c>
      <c r="C169" s="4">
        <v>9.4</v>
      </c>
      <c r="D169" s="4">
        <v>98</v>
      </c>
      <c r="E169" s="4">
        <v>95</v>
      </c>
      <c r="F169" s="4">
        <v>42</v>
      </c>
      <c r="G169" s="4">
        <f t="shared" si="28"/>
        <v>-53</v>
      </c>
      <c r="H169" s="4" t="str">
        <f t="shared" si="29"/>
        <v>Decline</v>
      </c>
      <c r="I169" t="str">
        <f t="shared" si="31"/>
        <v>91-100</v>
      </c>
      <c r="J169" t="str">
        <f t="shared" si="34"/>
        <v>7-9</v>
      </c>
      <c r="K169" t="str">
        <f t="shared" si="32"/>
        <v>Pass</v>
      </c>
      <c r="L169" t="str">
        <f t="shared" si="33"/>
        <v>Pass</v>
      </c>
      <c r="M169" t="str">
        <f t="shared" si="27"/>
        <v>Increase</v>
      </c>
    </row>
    <row r="170" spans="1:17" ht="14.4" x14ac:dyDescent="0.3">
      <c r="A170" t="s">
        <v>88</v>
      </c>
      <c r="B170" s="4">
        <v>2</v>
      </c>
      <c r="C170" s="4">
        <v>3</v>
      </c>
      <c r="D170" s="4">
        <v>77.3</v>
      </c>
      <c r="E170" s="4">
        <v>76</v>
      </c>
      <c r="F170" s="4">
        <v>32.1</v>
      </c>
      <c r="G170" s="4">
        <f t="shared" si="28"/>
        <v>-43.9</v>
      </c>
      <c r="H170" s="4" t="str">
        <f t="shared" si="29"/>
        <v>Decline</v>
      </c>
      <c r="I170" t="str">
        <f t="shared" si="31"/>
        <v>71-80</v>
      </c>
      <c r="J170" t="str">
        <f t="shared" si="34"/>
        <v>1-3</v>
      </c>
      <c r="K170" t="str">
        <f t="shared" si="32"/>
        <v>Fail</v>
      </c>
      <c r="L170" t="str">
        <f t="shared" si="33"/>
        <v>Pass</v>
      </c>
      <c r="M170" t="str">
        <f t="shared" si="27"/>
        <v>Increase</v>
      </c>
    </row>
    <row r="171" spans="1:17" ht="14.4" x14ac:dyDescent="0.3">
      <c r="A171" t="s">
        <v>67</v>
      </c>
      <c r="B171" s="4">
        <v>1.4</v>
      </c>
      <c r="C171" s="4">
        <v>2.4</v>
      </c>
      <c r="D171" s="4">
        <v>84.7</v>
      </c>
      <c r="E171" s="4">
        <v>63</v>
      </c>
      <c r="F171" s="4">
        <v>32.200000000000003</v>
      </c>
      <c r="G171" s="4">
        <f t="shared" si="28"/>
        <v>-30.799999999999997</v>
      </c>
      <c r="H171" s="4" t="str">
        <f t="shared" si="29"/>
        <v>Decline</v>
      </c>
      <c r="I171" t="str">
        <f t="shared" si="31"/>
        <v>81-90</v>
      </c>
      <c r="J171" t="str">
        <f t="shared" si="34"/>
        <v>1-3</v>
      </c>
      <c r="K171" t="str">
        <f t="shared" si="32"/>
        <v>Fail</v>
      </c>
      <c r="L171" t="str">
        <f t="shared" si="33"/>
        <v>Pass</v>
      </c>
      <c r="M171" t="str">
        <f t="shared" si="27"/>
        <v>Increase</v>
      </c>
    </row>
    <row r="172" spans="1:17" ht="14.4" x14ac:dyDescent="0.3">
      <c r="A172" t="s">
        <v>170</v>
      </c>
      <c r="B172" s="4">
        <v>11.3</v>
      </c>
      <c r="C172" s="4">
        <v>12.3</v>
      </c>
      <c r="D172" s="4">
        <v>85.4</v>
      </c>
      <c r="E172" s="4">
        <v>83</v>
      </c>
      <c r="F172" s="4">
        <v>45.3</v>
      </c>
      <c r="G172" s="4">
        <f t="shared" si="28"/>
        <v>-37.700000000000003</v>
      </c>
      <c r="H172" s="4" t="str">
        <f t="shared" si="29"/>
        <v>Decline</v>
      </c>
      <c r="I172" t="str">
        <f t="shared" si="31"/>
        <v>81-90</v>
      </c>
      <c r="J172" t="str">
        <f t="shared" si="34"/>
        <v>10-12</v>
      </c>
      <c r="K172" t="str">
        <f t="shared" si="32"/>
        <v>Pass</v>
      </c>
      <c r="L172" t="str">
        <f t="shared" si="33"/>
        <v>Pass</v>
      </c>
      <c r="M172" t="str">
        <f t="shared" si="27"/>
        <v>Increase</v>
      </c>
    </row>
    <row r="173" spans="1:17" ht="14.4" x14ac:dyDescent="0.3">
      <c r="A173" t="s">
        <v>171</v>
      </c>
      <c r="B173" s="4">
        <v>7.3</v>
      </c>
      <c r="C173" s="4">
        <v>8.3000000000000007</v>
      </c>
      <c r="D173" s="4">
        <v>71.8</v>
      </c>
      <c r="E173" s="4">
        <v>54</v>
      </c>
      <c r="F173" s="4">
        <v>31</v>
      </c>
      <c r="G173" s="4">
        <f t="shared" si="28"/>
        <v>-23</v>
      </c>
      <c r="H173" s="4" t="str">
        <f t="shared" si="29"/>
        <v>Decline</v>
      </c>
      <c r="I173" t="str">
        <f t="shared" si="31"/>
        <v>71-80</v>
      </c>
      <c r="J173" t="str">
        <f t="shared" si="34"/>
        <v>7-9</v>
      </c>
      <c r="K173" t="str">
        <f t="shared" si="32"/>
        <v>Fail</v>
      </c>
      <c r="L173" t="str">
        <f t="shared" si="33"/>
        <v>Pass</v>
      </c>
      <c r="M173" t="str">
        <f t="shared" si="27"/>
        <v>Increase</v>
      </c>
      <c r="O173" s="18"/>
      <c r="P173" s="18"/>
      <c r="Q173" s="18"/>
    </row>
    <row r="174" spans="1:17" ht="14.4" x14ac:dyDescent="0.3">
      <c r="A174" t="s">
        <v>172</v>
      </c>
      <c r="B174" s="4">
        <v>6.2</v>
      </c>
      <c r="C174" s="4">
        <v>7.2</v>
      </c>
      <c r="D174" s="4">
        <v>86.7</v>
      </c>
      <c r="E174" s="4">
        <v>56</v>
      </c>
      <c r="F174" s="4">
        <v>31</v>
      </c>
      <c r="G174" s="4">
        <f t="shared" si="28"/>
        <v>-25</v>
      </c>
      <c r="H174" s="4" t="str">
        <f t="shared" si="29"/>
        <v>Decline</v>
      </c>
      <c r="I174" t="str">
        <f t="shared" si="31"/>
        <v>81-90</v>
      </c>
      <c r="J174" t="str">
        <f t="shared" si="34"/>
        <v>7-9</v>
      </c>
      <c r="K174" t="str">
        <f t="shared" si="32"/>
        <v>Fail</v>
      </c>
      <c r="L174" t="str">
        <f t="shared" si="33"/>
        <v>Pass</v>
      </c>
      <c r="M174" t="str">
        <f t="shared" si="27"/>
        <v>Increase</v>
      </c>
      <c r="O174" s="15"/>
      <c r="P174" s="15"/>
      <c r="Q174" s="15"/>
    </row>
    <row r="175" spans="1:17" ht="14.4" x14ac:dyDescent="0.3">
      <c r="A175" t="s">
        <v>173</v>
      </c>
      <c r="B175" s="4">
        <v>9.6</v>
      </c>
      <c r="C175" s="4">
        <v>10.6</v>
      </c>
      <c r="D175" s="4">
        <v>98.3</v>
      </c>
      <c r="E175" s="4">
        <v>90</v>
      </c>
      <c r="F175" s="4">
        <v>40.9</v>
      </c>
      <c r="G175" s="4">
        <f t="shared" si="28"/>
        <v>-49.1</v>
      </c>
      <c r="H175" s="4" t="str">
        <f t="shared" si="29"/>
        <v>Decline</v>
      </c>
      <c r="I175" t="str">
        <f t="shared" si="31"/>
        <v>91-100</v>
      </c>
      <c r="J175" t="str">
        <f t="shared" si="34"/>
        <v>10-12</v>
      </c>
      <c r="K175" t="str">
        <f t="shared" si="32"/>
        <v>Pass</v>
      </c>
      <c r="L175" t="str">
        <f t="shared" si="33"/>
        <v>Pass</v>
      </c>
      <c r="M175" t="str">
        <f t="shared" si="27"/>
        <v>Increase</v>
      </c>
      <c r="O175" s="15"/>
      <c r="P175" s="15"/>
      <c r="Q175" s="15"/>
    </row>
    <row r="176" spans="1:17" ht="14.4" x14ac:dyDescent="0.3">
      <c r="A176" t="s">
        <v>174</v>
      </c>
      <c r="B176" s="4">
        <v>9.9</v>
      </c>
      <c r="C176" s="4">
        <v>10.9</v>
      </c>
      <c r="D176" s="4">
        <v>63.5</v>
      </c>
      <c r="E176" s="4">
        <v>90</v>
      </c>
      <c r="F176" s="4">
        <v>44.8</v>
      </c>
      <c r="G176" s="4">
        <f t="shared" si="28"/>
        <v>-45.2</v>
      </c>
      <c r="H176" s="4" t="str">
        <f t="shared" si="29"/>
        <v>Decline</v>
      </c>
      <c r="I176" t="str">
        <f t="shared" si="31"/>
        <v>61-70</v>
      </c>
      <c r="J176" t="str">
        <f t="shared" si="34"/>
        <v>10-12</v>
      </c>
      <c r="K176" t="str">
        <f t="shared" si="32"/>
        <v>Pass</v>
      </c>
      <c r="L176" t="str">
        <f t="shared" si="33"/>
        <v>Pass</v>
      </c>
      <c r="M176" t="str">
        <f t="shared" si="27"/>
        <v>Increase</v>
      </c>
      <c r="O176" s="15"/>
      <c r="P176" s="15"/>
      <c r="Q176" s="15"/>
    </row>
    <row r="177" spans="1:17" ht="14.4" x14ac:dyDescent="0.3">
      <c r="A177" t="s">
        <v>145</v>
      </c>
      <c r="B177" s="4">
        <v>3.3</v>
      </c>
      <c r="C177" s="4">
        <v>4.3</v>
      </c>
      <c r="D177" s="4">
        <v>83.9</v>
      </c>
      <c r="E177" s="4">
        <v>56</v>
      </c>
      <c r="F177" s="4">
        <v>33</v>
      </c>
      <c r="G177" s="4">
        <f t="shared" si="28"/>
        <v>-23</v>
      </c>
      <c r="H177" s="4" t="str">
        <f t="shared" si="29"/>
        <v>Decline</v>
      </c>
      <c r="I177" t="str">
        <f t="shared" si="31"/>
        <v>81-90</v>
      </c>
      <c r="J177" t="str">
        <f t="shared" si="34"/>
        <v>4-6</v>
      </c>
      <c r="K177" t="str">
        <f t="shared" si="32"/>
        <v>Fail</v>
      </c>
      <c r="L177" t="str">
        <f t="shared" si="33"/>
        <v>Pass</v>
      </c>
      <c r="M177" t="str">
        <f t="shared" si="27"/>
        <v>Increase</v>
      </c>
      <c r="O177" s="15"/>
      <c r="P177" s="15"/>
      <c r="Q177" s="15"/>
    </row>
    <row r="178" spans="1:17" ht="14.4" x14ac:dyDescent="0.3">
      <c r="A178" t="s">
        <v>58</v>
      </c>
      <c r="B178" s="4">
        <v>2.8</v>
      </c>
      <c r="C178" s="4">
        <v>3.8</v>
      </c>
      <c r="D178" s="4">
        <v>81.3</v>
      </c>
      <c r="E178" s="4">
        <v>88</v>
      </c>
      <c r="F178" s="4">
        <v>33</v>
      </c>
      <c r="G178" s="4">
        <f t="shared" si="28"/>
        <v>-55</v>
      </c>
      <c r="H178" s="4" t="str">
        <f t="shared" si="29"/>
        <v>Decline</v>
      </c>
      <c r="I178" t="str">
        <f t="shared" si="31"/>
        <v>81-90</v>
      </c>
      <c r="J178" t="str">
        <f t="shared" si="34"/>
        <v>1-3</v>
      </c>
      <c r="K178" t="str">
        <f t="shared" si="32"/>
        <v>Fail</v>
      </c>
      <c r="L178" t="str">
        <f t="shared" si="33"/>
        <v>Pass</v>
      </c>
      <c r="M178" t="str">
        <f t="shared" si="27"/>
        <v>Increase</v>
      </c>
      <c r="O178" s="15"/>
      <c r="P178" s="15"/>
      <c r="Q178" s="15"/>
    </row>
    <row r="179" spans="1:17" ht="14.4" x14ac:dyDescent="0.3">
      <c r="A179" t="s">
        <v>177</v>
      </c>
      <c r="B179" s="4">
        <v>5.7</v>
      </c>
      <c r="C179" s="4">
        <v>6.7</v>
      </c>
      <c r="D179" s="4">
        <v>74.2</v>
      </c>
      <c r="E179" s="4">
        <v>82</v>
      </c>
      <c r="F179" s="4">
        <v>31</v>
      </c>
      <c r="G179" s="4">
        <f t="shared" si="28"/>
        <v>-51</v>
      </c>
      <c r="H179" s="4" t="str">
        <f t="shared" si="29"/>
        <v>Decline</v>
      </c>
      <c r="I179" t="str">
        <f t="shared" si="31"/>
        <v>71-80</v>
      </c>
      <c r="J179" t="str">
        <f t="shared" si="34"/>
        <v>4-6</v>
      </c>
      <c r="K179" t="str">
        <f t="shared" si="32"/>
        <v>Fail</v>
      </c>
      <c r="L179" t="str">
        <f t="shared" si="33"/>
        <v>Pass</v>
      </c>
      <c r="M179" t="str">
        <f t="shared" si="27"/>
        <v>Increase</v>
      </c>
      <c r="O179" s="15"/>
      <c r="P179" s="15"/>
      <c r="Q179" s="15"/>
    </row>
    <row r="180" spans="1:17" ht="14.4" x14ac:dyDescent="0.3">
      <c r="A180" t="s">
        <v>178</v>
      </c>
      <c r="B180" s="4">
        <v>5.7</v>
      </c>
      <c r="C180" s="4">
        <v>6.7</v>
      </c>
      <c r="D180" s="4">
        <v>71.8</v>
      </c>
      <c r="E180" s="4">
        <v>91</v>
      </c>
      <c r="F180" s="4">
        <v>35</v>
      </c>
      <c r="G180" s="4">
        <f t="shared" si="28"/>
        <v>-56</v>
      </c>
      <c r="H180" s="4" t="str">
        <f t="shared" si="29"/>
        <v>Decline</v>
      </c>
      <c r="I180" t="str">
        <f t="shared" si="31"/>
        <v>71-80</v>
      </c>
      <c r="J180" t="str">
        <f t="shared" si="34"/>
        <v>4-6</v>
      </c>
      <c r="K180" t="str">
        <f t="shared" si="32"/>
        <v>Fail</v>
      </c>
      <c r="L180" t="str">
        <f t="shared" si="33"/>
        <v>Pass</v>
      </c>
      <c r="M180" t="str">
        <f t="shared" si="27"/>
        <v>Increase</v>
      </c>
      <c r="O180" s="15"/>
      <c r="P180" s="15"/>
      <c r="Q180" s="15"/>
    </row>
    <row r="181" spans="1:17" ht="14.4" x14ac:dyDescent="0.3">
      <c r="A181" t="s">
        <v>179</v>
      </c>
      <c r="B181" s="4">
        <v>6.1</v>
      </c>
      <c r="C181" s="4">
        <v>7.1</v>
      </c>
      <c r="D181" s="4">
        <v>86.6</v>
      </c>
      <c r="E181" s="4">
        <v>52</v>
      </c>
      <c r="F181" s="4">
        <v>31.4</v>
      </c>
      <c r="G181" s="4">
        <f t="shared" si="28"/>
        <v>-20.6</v>
      </c>
      <c r="H181" s="4" t="str">
        <f t="shared" si="29"/>
        <v>Decline</v>
      </c>
      <c r="I181" t="str">
        <f t="shared" si="31"/>
        <v>81-90</v>
      </c>
      <c r="J181" t="str">
        <f t="shared" si="34"/>
        <v>7-9</v>
      </c>
      <c r="K181" t="str">
        <f t="shared" si="32"/>
        <v>Fail</v>
      </c>
      <c r="L181" t="str">
        <f t="shared" si="33"/>
        <v>Pass</v>
      </c>
      <c r="M181" t="str">
        <f t="shared" si="27"/>
        <v>Increase</v>
      </c>
      <c r="O181" s="20"/>
      <c r="P181" s="21"/>
      <c r="Q181" s="15"/>
    </row>
    <row r="182" spans="1:17" ht="14.4" x14ac:dyDescent="0.3">
      <c r="A182" t="s">
        <v>180</v>
      </c>
      <c r="B182" s="4">
        <v>9</v>
      </c>
      <c r="C182" s="4">
        <v>10</v>
      </c>
      <c r="D182" s="4">
        <v>63.4</v>
      </c>
      <c r="E182" s="4">
        <v>67</v>
      </c>
      <c r="F182" s="4">
        <v>38.4</v>
      </c>
      <c r="G182" s="4">
        <f t="shared" si="28"/>
        <v>-28.6</v>
      </c>
      <c r="H182" s="4" t="str">
        <f t="shared" si="29"/>
        <v>Decline</v>
      </c>
      <c r="I182" t="str">
        <f t="shared" si="31"/>
        <v>61-70</v>
      </c>
      <c r="J182" t="str">
        <f t="shared" si="34"/>
        <v>10-12</v>
      </c>
      <c r="K182" t="str">
        <f t="shared" si="32"/>
        <v>Fail</v>
      </c>
      <c r="L182" t="str">
        <f t="shared" si="33"/>
        <v>Pass</v>
      </c>
      <c r="M182" t="str">
        <f t="shared" si="27"/>
        <v>Increase</v>
      </c>
      <c r="O182" s="15"/>
      <c r="P182" s="15"/>
      <c r="Q182" s="15"/>
    </row>
    <row r="183" spans="1:17" ht="14.4" x14ac:dyDescent="0.3">
      <c r="A183" t="s">
        <v>181</v>
      </c>
      <c r="B183" s="4">
        <v>8.4</v>
      </c>
      <c r="C183" s="4">
        <v>9.4</v>
      </c>
      <c r="D183" s="4">
        <v>92.6</v>
      </c>
      <c r="E183" s="4">
        <v>47</v>
      </c>
      <c r="F183" s="4">
        <v>36.1</v>
      </c>
      <c r="G183" s="4">
        <f t="shared" si="28"/>
        <v>-10.899999999999999</v>
      </c>
      <c r="H183" s="4" t="str">
        <f t="shared" si="29"/>
        <v>Decline</v>
      </c>
      <c r="I183" t="str">
        <f t="shared" si="31"/>
        <v>91-100</v>
      </c>
      <c r="J183" t="str">
        <f t="shared" si="34"/>
        <v>7-9</v>
      </c>
      <c r="K183" t="str">
        <f t="shared" si="32"/>
        <v>Fail</v>
      </c>
      <c r="L183" t="str">
        <f t="shared" si="33"/>
        <v>Fail</v>
      </c>
      <c r="M183" t="str">
        <f t="shared" si="27"/>
        <v>Increase</v>
      </c>
    </row>
    <row r="184" spans="1:17" ht="14.4" x14ac:dyDescent="0.3">
      <c r="A184" t="s">
        <v>182</v>
      </c>
      <c r="B184" s="4">
        <v>11.8</v>
      </c>
      <c r="C184" s="4">
        <v>12.8</v>
      </c>
      <c r="D184" s="4">
        <v>91.5</v>
      </c>
      <c r="E184" s="4">
        <v>74</v>
      </c>
      <c r="F184" s="4">
        <v>44.1</v>
      </c>
      <c r="G184" s="4">
        <f t="shared" si="28"/>
        <v>-29.9</v>
      </c>
      <c r="H184" s="4" t="str">
        <f t="shared" si="29"/>
        <v>Decline</v>
      </c>
      <c r="I184" t="str">
        <f t="shared" si="31"/>
        <v>91-100</v>
      </c>
      <c r="J184" t="str">
        <f t="shared" si="34"/>
        <v>10-12</v>
      </c>
      <c r="K184" t="str">
        <f t="shared" si="32"/>
        <v>Pass</v>
      </c>
      <c r="L184" t="str">
        <f t="shared" si="33"/>
        <v>Pass</v>
      </c>
      <c r="M184" t="str">
        <f t="shared" si="27"/>
        <v>Increase</v>
      </c>
      <c r="O184" s="1"/>
    </row>
    <row r="185" spans="1:17" ht="14.4" x14ac:dyDescent="0.3">
      <c r="A185" t="s">
        <v>175</v>
      </c>
      <c r="B185" s="4">
        <v>3.1</v>
      </c>
      <c r="C185" s="4">
        <v>4.0999999999999996</v>
      </c>
      <c r="D185" s="4">
        <v>90.4</v>
      </c>
      <c r="E185" s="4">
        <v>80</v>
      </c>
      <c r="F185" s="4">
        <v>34.4</v>
      </c>
      <c r="G185" s="4">
        <f t="shared" si="28"/>
        <v>-45.6</v>
      </c>
      <c r="H185" s="4" t="str">
        <f t="shared" si="29"/>
        <v>Decline</v>
      </c>
      <c r="I185" t="str">
        <f t="shared" si="31"/>
        <v>81-90</v>
      </c>
      <c r="J185" t="str">
        <f t="shared" si="34"/>
        <v>4-6</v>
      </c>
      <c r="K185" t="str">
        <f t="shared" si="32"/>
        <v>Fail</v>
      </c>
      <c r="L185" t="str">
        <f t="shared" si="33"/>
        <v>Pass</v>
      </c>
      <c r="M185" t="str">
        <f t="shared" si="27"/>
        <v>Increase</v>
      </c>
    </row>
    <row r="186" spans="1:17" ht="14.4" x14ac:dyDescent="0.3">
      <c r="A186" t="s">
        <v>184</v>
      </c>
      <c r="B186" s="4">
        <v>5.4</v>
      </c>
      <c r="C186" s="4">
        <v>6.4</v>
      </c>
      <c r="D186" s="4">
        <v>94.1</v>
      </c>
      <c r="E186" s="4">
        <v>81</v>
      </c>
      <c r="F186" s="4">
        <v>39.4</v>
      </c>
      <c r="G186" s="4">
        <f t="shared" si="28"/>
        <v>-41.6</v>
      </c>
      <c r="H186" s="4" t="str">
        <f t="shared" si="29"/>
        <v>Decline</v>
      </c>
      <c r="I186" t="str">
        <f t="shared" si="31"/>
        <v>91-100</v>
      </c>
      <c r="J186" t="str">
        <f t="shared" si="34"/>
        <v>4-6</v>
      </c>
      <c r="K186" t="str">
        <f t="shared" si="32"/>
        <v>Fail</v>
      </c>
      <c r="L186" t="str">
        <f t="shared" si="33"/>
        <v>Pass</v>
      </c>
      <c r="M186" t="str">
        <f t="shared" si="27"/>
        <v>Increase</v>
      </c>
      <c r="O186" s="15"/>
      <c r="Q186" s="15"/>
    </row>
    <row r="187" spans="1:17" ht="14.4" x14ac:dyDescent="0.3">
      <c r="A187" t="s">
        <v>185</v>
      </c>
      <c r="B187" s="4">
        <v>4.7</v>
      </c>
      <c r="C187" s="4">
        <v>5.7</v>
      </c>
      <c r="D187" s="4">
        <v>62.2</v>
      </c>
      <c r="E187" s="4">
        <v>49</v>
      </c>
      <c r="F187" s="4">
        <v>22.9</v>
      </c>
      <c r="G187" s="4">
        <f t="shared" si="28"/>
        <v>-26.1</v>
      </c>
      <c r="H187" s="4" t="str">
        <f t="shared" si="29"/>
        <v>Decline</v>
      </c>
      <c r="I187" t="str">
        <f t="shared" si="31"/>
        <v>61-70</v>
      </c>
      <c r="J187" t="str">
        <f t="shared" si="34"/>
        <v>4-6</v>
      </c>
      <c r="K187" t="str">
        <f t="shared" si="32"/>
        <v>Fail</v>
      </c>
      <c r="L187" t="str">
        <f t="shared" si="33"/>
        <v>Fail</v>
      </c>
      <c r="M187" t="str">
        <f t="shared" si="27"/>
        <v>Increase</v>
      </c>
    </row>
    <row r="188" spans="1:17" ht="14.4" x14ac:dyDescent="0.3">
      <c r="A188" t="s">
        <v>186</v>
      </c>
      <c r="B188" s="4">
        <v>10.5</v>
      </c>
      <c r="C188" s="4">
        <v>11.5</v>
      </c>
      <c r="D188" s="4">
        <v>73.2</v>
      </c>
      <c r="E188" s="4">
        <v>57</v>
      </c>
      <c r="F188" s="4">
        <v>36.200000000000003</v>
      </c>
      <c r="G188" s="4">
        <f t="shared" si="28"/>
        <v>-20.799999999999997</v>
      </c>
      <c r="H188" s="4" t="str">
        <f t="shared" si="29"/>
        <v>Decline</v>
      </c>
      <c r="I188" t="str">
        <f t="shared" si="31"/>
        <v>71-80</v>
      </c>
      <c r="J188" t="str">
        <f t="shared" si="34"/>
        <v>10-12</v>
      </c>
      <c r="K188" t="str">
        <f t="shared" si="32"/>
        <v>Fail</v>
      </c>
      <c r="L188" t="str">
        <f t="shared" si="33"/>
        <v>Pass</v>
      </c>
      <c r="M188" t="str">
        <f t="shared" si="27"/>
        <v>Increase</v>
      </c>
    </row>
    <row r="189" spans="1:17" ht="14.4" x14ac:dyDescent="0.3">
      <c r="A189" t="s">
        <v>187</v>
      </c>
      <c r="B189" s="4">
        <v>3.7</v>
      </c>
      <c r="C189" s="4">
        <v>4.7</v>
      </c>
      <c r="D189" s="4">
        <v>80.5</v>
      </c>
      <c r="E189" s="4">
        <v>92</v>
      </c>
      <c r="F189" s="4">
        <v>33.4</v>
      </c>
      <c r="G189" s="4">
        <f t="shared" si="28"/>
        <v>-58.6</v>
      </c>
      <c r="H189" s="4" t="str">
        <f t="shared" si="29"/>
        <v>Decline</v>
      </c>
      <c r="I189" t="str">
        <f t="shared" si="31"/>
        <v>71-80</v>
      </c>
      <c r="J189" t="str">
        <f t="shared" si="34"/>
        <v>4-6</v>
      </c>
      <c r="K189" t="str">
        <f t="shared" si="32"/>
        <v>Fail</v>
      </c>
      <c r="L189" t="str">
        <f t="shared" si="33"/>
        <v>Pass</v>
      </c>
      <c r="M189" t="str">
        <f t="shared" si="27"/>
        <v>Increase</v>
      </c>
    </row>
    <row r="190" spans="1:17" ht="14.4" x14ac:dyDescent="0.3">
      <c r="A190" t="s">
        <v>56</v>
      </c>
      <c r="B190" s="4">
        <v>2.9</v>
      </c>
      <c r="C190" s="4">
        <v>3.9</v>
      </c>
      <c r="D190" s="4">
        <v>88.3</v>
      </c>
      <c r="E190" s="4">
        <v>86</v>
      </c>
      <c r="F190" s="4">
        <v>35.200000000000003</v>
      </c>
      <c r="G190" s="4">
        <f t="shared" si="28"/>
        <v>-50.8</v>
      </c>
      <c r="H190" s="4" t="str">
        <f t="shared" si="29"/>
        <v>Decline</v>
      </c>
      <c r="I190" t="str">
        <f t="shared" si="31"/>
        <v>81-90</v>
      </c>
      <c r="J190" t="str">
        <f t="shared" si="34"/>
        <v>1-3</v>
      </c>
      <c r="K190" t="str">
        <f t="shared" si="32"/>
        <v>Fail</v>
      </c>
      <c r="L190" t="str">
        <f t="shared" si="33"/>
        <v>Pass</v>
      </c>
      <c r="M190" t="str">
        <f t="shared" si="27"/>
        <v>Increase</v>
      </c>
    </row>
    <row r="191" spans="1:17" ht="14.4" x14ac:dyDescent="0.3">
      <c r="A191" t="s">
        <v>189</v>
      </c>
      <c r="B191" s="4">
        <v>5.9</v>
      </c>
      <c r="C191" s="4">
        <v>6.9</v>
      </c>
      <c r="D191" s="4">
        <v>51.4</v>
      </c>
      <c r="E191" s="4">
        <v>44</v>
      </c>
      <c r="F191" s="4">
        <v>28</v>
      </c>
      <c r="G191" s="4">
        <f t="shared" si="28"/>
        <v>-16</v>
      </c>
      <c r="H191" s="4" t="str">
        <f t="shared" si="29"/>
        <v>Decline</v>
      </c>
      <c r="I191" t="str">
        <f t="shared" si="31"/>
        <v>50-60</v>
      </c>
      <c r="J191" t="str">
        <f t="shared" si="34"/>
        <v>4-6</v>
      </c>
      <c r="K191" t="str">
        <f t="shared" si="32"/>
        <v>Fail</v>
      </c>
      <c r="L191" t="str">
        <f t="shared" si="33"/>
        <v>Fail</v>
      </c>
      <c r="M191" t="str">
        <f t="shared" si="27"/>
        <v>Increase</v>
      </c>
    </row>
    <row r="192" spans="1:17" ht="14.4" x14ac:dyDescent="0.3">
      <c r="A192" t="s">
        <v>190</v>
      </c>
      <c r="B192" s="4">
        <v>5.6</v>
      </c>
      <c r="C192" s="4">
        <v>6.6</v>
      </c>
      <c r="D192" s="4">
        <v>92.5</v>
      </c>
      <c r="E192" s="4">
        <v>43</v>
      </c>
      <c r="F192" s="4">
        <v>32.200000000000003</v>
      </c>
      <c r="G192" s="4">
        <f t="shared" si="28"/>
        <v>-10.799999999999997</v>
      </c>
      <c r="H192" s="4" t="str">
        <f t="shared" si="29"/>
        <v>Decline</v>
      </c>
      <c r="I192" t="str">
        <f t="shared" si="31"/>
        <v>91-100</v>
      </c>
      <c r="J192" t="str">
        <f t="shared" si="34"/>
        <v>4-6</v>
      </c>
      <c r="K192" t="str">
        <f t="shared" si="32"/>
        <v>Fail</v>
      </c>
      <c r="L192" t="str">
        <f t="shared" si="33"/>
        <v>Fail</v>
      </c>
      <c r="M192" t="str">
        <f t="shared" si="27"/>
        <v>Increase</v>
      </c>
    </row>
    <row r="193" spans="1:13" ht="14.4" x14ac:dyDescent="0.3">
      <c r="A193" t="s">
        <v>191</v>
      </c>
      <c r="B193" s="4">
        <v>4.0999999999999996</v>
      </c>
      <c r="C193" s="4">
        <v>5.0999999999999996</v>
      </c>
      <c r="D193" s="4">
        <v>59.1</v>
      </c>
      <c r="E193" s="4">
        <v>50</v>
      </c>
      <c r="F193" s="4">
        <v>30.7</v>
      </c>
      <c r="G193" s="4">
        <f t="shared" si="28"/>
        <v>-19.3</v>
      </c>
      <c r="H193" s="4" t="str">
        <f t="shared" si="29"/>
        <v>Decline</v>
      </c>
      <c r="I193" t="str">
        <f t="shared" si="31"/>
        <v>50-60</v>
      </c>
      <c r="J193" t="str">
        <f t="shared" si="34"/>
        <v>4-6</v>
      </c>
      <c r="K193" t="str">
        <f t="shared" si="32"/>
        <v>Fail</v>
      </c>
      <c r="L193" t="str">
        <f t="shared" si="33"/>
        <v>Pass</v>
      </c>
      <c r="M193" t="str">
        <f t="shared" si="27"/>
        <v>Increase</v>
      </c>
    </row>
    <row r="194" spans="1:13" ht="14.4" x14ac:dyDescent="0.3">
      <c r="A194" t="s">
        <v>192</v>
      </c>
      <c r="B194" s="4">
        <v>3.7</v>
      </c>
      <c r="C194" s="4">
        <v>4.7</v>
      </c>
      <c r="D194" s="4">
        <v>60.6</v>
      </c>
      <c r="E194" s="4">
        <v>90</v>
      </c>
      <c r="F194" s="4">
        <v>28.8</v>
      </c>
      <c r="G194" s="4">
        <f t="shared" si="28"/>
        <v>-61.2</v>
      </c>
      <c r="H194" s="4" t="str">
        <f t="shared" si="29"/>
        <v>Decline</v>
      </c>
      <c r="I194" t="str">
        <f t="shared" si="31"/>
        <v>50-60</v>
      </c>
      <c r="J194" t="str">
        <f t="shared" si="34"/>
        <v>4-6</v>
      </c>
      <c r="K194" t="str">
        <f t="shared" ref="K194:K201" si="35">IF($F$2:$F$201&gt;=40,"Pass","Fail")</f>
        <v>Fail</v>
      </c>
      <c r="L194" t="str">
        <f t="shared" ref="L194:L201" si="36">IF($E$2:$E$201&gt;=50,"Pass","Fail")</f>
        <v>Pass</v>
      </c>
      <c r="M194" t="str">
        <f t="shared" ref="M194:M201" si="37">IF(AND(B194&gt;C194),"Decrease","Increase")</f>
        <v>Increase</v>
      </c>
    </row>
    <row r="195" spans="1:13" ht="14.4" x14ac:dyDescent="0.3">
      <c r="A195" t="s">
        <v>193</v>
      </c>
      <c r="B195" s="4">
        <v>11.2</v>
      </c>
      <c r="C195" s="4">
        <v>12.2</v>
      </c>
      <c r="D195" s="4">
        <v>89.9</v>
      </c>
      <c r="E195" s="4">
        <v>59</v>
      </c>
      <c r="F195" s="4">
        <v>46.7</v>
      </c>
      <c r="G195" s="4">
        <f t="shared" ref="G195:G201" si="38">F195-E195</f>
        <v>-12.299999999999997</v>
      </c>
      <c r="H195" s="4" t="str">
        <f t="shared" ref="H195:H201" si="39">IF(G195&lt;0,"Decline","improved")</f>
        <v>Decline</v>
      </c>
      <c r="I195" t="str">
        <f t="shared" si="31"/>
        <v>81-90</v>
      </c>
      <c r="J195" t="str">
        <f t="shared" si="34"/>
        <v>10-12</v>
      </c>
      <c r="K195" t="str">
        <f t="shared" si="35"/>
        <v>Pass</v>
      </c>
      <c r="L195" t="str">
        <f t="shared" si="36"/>
        <v>Pass</v>
      </c>
      <c r="M195" t="str">
        <f t="shared" si="37"/>
        <v>Increase</v>
      </c>
    </row>
    <row r="196" spans="1:13" ht="14.4" x14ac:dyDescent="0.3">
      <c r="A196" t="s">
        <v>194</v>
      </c>
      <c r="B196" s="4">
        <v>5.9</v>
      </c>
      <c r="C196" s="4">
        <v>6.9</v>
      </c>
      <c r="D196" s="4">
        <v>67</v>
      </c>
      <c r="E196" s="4">
        <v>78</v>
      </c>
      <c r="F196" s="4">
        <v>33.799999999999997</v>
      </c>
      <c r="G196" s="4">
        <f t="shared" si="38"/>
        <v>-44.2</v>
      </c>
      <c r="H196" s="4" t="str">
        <f t="shared" si="39"/>
        <v>Decline</v>
      </c>
      <c r="I196" t="str">
        <f t="shared" si="31"/>
        <v>61-70</v>
      </c>
      <c r="J196" t="str">
        <f t="shared" si="34"/>
        <v>4-6</v>
      </c>
      <c r="K196" t="str">
        <f t="shared" si="35"/>
        <v>Fail</v>
      </c>
      <c r="L196" t="str">
        <f t="shared" si="36"/>
        <v>Pass</v>
      </c>
      <c r="M196" t="str">
        <f t="shared" si="37"/>
        <v>Increase</v>
      </c>
    </row>
    <row r="197" spans="1:13" ht="14.4" x14ac:dyDescent="0.3">
      <c r="A197" t="s">
        <v>195</v>
      </c>
      <c r="B197" s="4">
        <v>10.5</v>
      </c>
      <c r="C197" s="4">
        <v>11.5</v>
      </c>
      <c r="D197" s="4">
        <v>94</v>
      </c>
      <c r="E197" s="4">
        <v>87</v>
      </c>
      <c r="F197" s="4">
        <v>42.7</v>
      </c>
      <c r="G197" s="4">
        <f t="shared" si="38"/>
        <v>-44.3</v>
      </c>
      <c r="H197" s="4" t="str">
        <f t="shared" si="39"/>
        <v>Decline</v>
      </c>
      <c r="I197" t="str">
        <f t="shared" si="31"/>
        <v>91-100</v>
      </c>
      <c r="J197" t="str">
        <f t="shared" si="34"/>
        <v>10-12</v>
      </c>
      <c r="K197" t="str">
        <f t="shared" si="35"/>
        <v>Pass</v>
      </c>
      <c r="L197" t="str">
        <f t="shared" si="36"/>
        <v>Pass</v>
      </c>
      <c r="M197" t="str">
        <f t="shared" si="37"/>
        <v>Increase</v>
      </c>
    </row>
    <row r="198" spans="1:13" ht="14.4" x14ac:dyDescent="0.3">
      <c r="A198" t="s">
        <v>196</v>
      </c>
      <c r="B198" s="4">
        <v>7.1</v>
      </c>
      <c r="C198" s="4">
        <v>8.1</v>
      </c>
      <c r="D198" s="4">
        <v>85.1</v>
      </c>
      <c r="E198" s="4">
        <v>92</v>
      </c>
      <c r="F198" s="4">
        <v>40.4</v>
      </c>
      <c r="G198" s="4">
        <f t="shared" si="38"/>
        <v>-51.6</v>
      </c>
      <c r="H198" s="4" t="str">
        <f t="shared" si="39"/>
        <v>Decline</v>
      </c>
      <c r="I198" t="str">
        <f t="shared" si="31"/>
        <v>81-90</v>
      </c>
      <c r="J198" t="str">
        <f t="shared" si="34"/>
        <v>7-9</v>
      </c>
      <c r="K198" t="str">
        <f t="shared" si="35"/>
        <v>Pass</v>
      </c>
      <c r="L198" t="str">
        <f t="shared" si="36"/>
        <v>Pass</v>
      </c>
      <c r="M198" t="str">
        <f t="shared" si="37"/>
        <v>Increase</v>
      </c>
    </row>
    <row r="199" spans="1:13" ht="14.4" x14ac:dyDescent="0.3">
      <c r="A199" t="s">
        <v>23</v>
      </c>
      <c r="B199" s="4">
        <v>2.7</v>
      </c>
      <c r="C199" s="4">
        <v>3.7</v>
      </c>
      <c r="D199" s="4">
        <v>84.8</v>
      </c>
      <c r="E199" s="4">
        <v>82</v>
      </c>
      <c r="F199" s="4">
        <v>35.9</v>
      </c>
      <c r="G199" s="4">
        <f t="shared" si="38"/>
        <v>-46.1</v>
      </c>
      <c r="H199" s="4" t="str">
        <f t="shared" si="39"/>
        <v>Decline</v>
      </c>
      <c r="I199" t="str">
        <f t="shared" si="31"/>
        <v>81-90</v>
      </c>
      <c r="J199" t="str">
        <f t="shared" si="34"/>
        <v>1-3</v>
      </c>
      <c r="K199" t="str">
        <f t="shared" si="35"/>
        <v>Fail</v>
      </c>
      <c r="L199" t="str">
        <f t="shared" si="36"/>
        <v>Pass</v>
      </c>
      <c r="M199" t="str">
        <f t="shared" si="37"/>
        <v>Increase</v>
      </c>
    </row>
    <row r="200" spans="1:13" ht="14.4" x14ac:dyDescent="0.3">
      <c r="A200" t="s">
        <v>198</v>
      </c>
      <c r="B200" s="4">
        <v>12</v>
      </c>
      <c r="C200" s="4">
        <v>13</v>
      </c>
      <c r="D200" s="4">
        <v>50.5</v>
      </c>
      <c r="E200" s="4">
        <v>58</v>
      </c>
      <c r="F200" s="4">
        <v>42</v>
      </c>
      <c r="G200" s="4">
        <f t="shared" si="38"/>
        <v>-16</v>
      </c>
      <c r="H200" s="4" t="str">
        <f t="shared" si="39"/>
        <v>Decline</v>
      </c>
      <c r="I200" t="str">
        <f t="shared" si="31"/>
        <v>50-60</v>
      </c>
      <c r="J200" t="str">
        <f t="shared" si="34"/>
        <v>13-14</v>
      </c>
      <c r="K200" t="str">
        <f t="shared" si="35"/>
        <v>Pass</v>
      </c>
      <c r="L200" t="str">
        <f t="shared" si="36"/>
        <v>Pass</v>
      </c>
      <c r="M200" t="str">
        <f t="shared" si="37"/>
        <v>Increase</v>
      </c>
    </row>
    <row r="201" spans="1:13" ht="14.4" x14ac:dyDescent="0.3">
      <c r="A201" t="s">
        <v>199</v>
      </c>
      <c r="B201" s="4">
        <v>10.199999999999999</v>
      </c>
      <c r="C201" s="4">
        <v>11.2</v>
      </c>
      <c r="D201" s="4">
        <v>97.4</v>
      </c>
      <c r="E201" s="4">
        <v>68</v>
      </c>
      <c r="F201" s="4">
        <v>37.799999999999997</v>
      </c>
      <c r="G201" s="4">
        <f t="shared" si="38"/>
        <v>-30.200000000000003</v>
      </c>
      <c r="H201" s="4" t="str">
        <f t="shared" si="39"/>
        <v>Decline</v>
      </c>
      <c r="I201" t="str">
        <f t="shared" si="31"/>
        <v>91-100</v>
      </c>
      <c r="J201" t="str">
        <f t="shared" si="34"/>
        <v>10-12</v>
      </c>
      <c r="K201" t="str">
        <f t="shared" si="35"/>
        <v>Fail</v>
      </c>
      <c r="L201" t="str">
        <f t="shared" si="36"/>
        <v>Pass</v>
      </c>
      <c r="M201" t="str">
        <f t="shared" si="37"/>
        <v>Increase</v>
      </c>
    </row>
    <row r="202" spans="1:13" ht="14.4" x14ac:dyDescent="0.3">
      <c r="C202" s="4"/>
      <c r="E202" s="4"/>
      <c r="G202" s="4"/>
      <c r="H202" s="4"/>
    </row>
    <row r="203" spans="1:13" ht="14.4" x14ac:dyDescent="0.3">
      <c r="C203" s="4"/>
      <c r="G203" s="4"/>
      <c r="H203" s="4"/>
    </row>
  </sheetData>
  <sortState ref="O2:Q6">
    <sortCondition ref="P2"/>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0"/>
  <sheetViews>
    <sheetView topLeftCell="A2" workbookViewId="0">
      <selection activeCell="S14" sqref="S14"/>
    </sheetView>
  </sheetViews>
  <sheetFormatPr defaultRowHeight="14.4" x14ac:dyDescent="0.3"/>
  <cols>
    <col min="1" max="1" width="20" customWidth="1"/>
    <col min="2" max="2" width="15.5546875" customWidth="1"/>
    <col min="3" max="3" width="5" customWidth="1"/>
    <col min="4" max="7" width="6" customWidth="1"/>
    <col min="8" max="8" width="10.77734375" customWidth="1"/>
    <col min="9" max="9" width="5.109375" customWidth="1"/>
    <col min="10" max="11" width="4.5546875" customWidth="1"/>
    <col min="12" max="12" width="21.44140625" customWidth="1"/>
    <col min="13" max="13" width="15.5546875" customWidth="1"/>
    <col min="14" max="16" width="3.6640625" customWidth="1"/>
    <col min="17" max="17" width="4.6640625" customWidth="1"/>
    <col min="18" max="18" width="5.6640625" customWidth="1"/>
    <col min="19" max="19" width="10.77734375" customWidth="1"/>
    <col min="20" max="22" width="4.5546875" customWidth="1"/>
    <col min="23" max="23" width="8.33203125" bestFit="1" customWidth="1"/>
    <col min="24" max="24" width="5.6640625" bestFit="1" customWidth="1"/>
    <col min="25" max="25" width="5" bestFit="1" customWidth="1"/>
    <col min="26" max="26" width="4.5546875" bestFit="1" customWidth="1"/>
    <col min="27" max="32" width="5" bestFit="1" customWidth="1"/>
    <col min="33" max="33" width="4.5546875" bestFit="1" customWidth="1"/>
    <col min="34" max="34" width="8.33203125" bestFit="1" customWidth="1"/>
    <col min="35" max="35" width="5.6640625" bestFit="1" customWidth="1"/>
    <col min="36" max="36" width="5" bestFit="1" customWidth="1"/>
    <col min="37" max="37" width="4.5546875" bestFit="1" customWidth="1"/>
    <col min="38" max="44" width="5" bestFit="1" customWidth="1"/>
    <col min="45" max="45" width="8.33203125" bestFit="1" customWidth="1"/>
    <col min="46" max="46" width="6.6640625" bestFit="1" customWidth="1"/>
    <col min="47" max="52" width="5" bestFit="1" customWidth="1"/>
    <col min="53" max="53" width="4.5546875" bestFit="1" customWidth="1"/>
    <col min="54" max="55" width="5" bestFit="1" customWidth="1"/>
    <col min="56" max="56" width="9.33203125" bestFit="1" customWidth="1"/>
    <col min="57" max="57" width="7.6640625" bestFit="1" customWidth="1"/>
    <col min="58" max="67" width="5" bestFit="1" customWidth="1"/>
    <col min="68" max="68" width="10.33203125" bestFit="1" customWidth="1"/>
    <col min="69" max="69" width="10.77734375" bestFit="1" customWidth="1"/>
    <col min="70" max="79" width="3.5546875" bestFit="1" customWidth="1"/>
    <col min="80" max="97" width="4.5546875" bestFit="1" customWidth="1"/>
    <col min="98" max="98" width="10.77734375" bestFit="1" customWidth="1"/>
  </cols>
  <sheetData>
    <row r="2" spans="1:21" x14ac:dyDescent="0.3">
      <c r="L2" s="5" t="s">
        <v>246</v>
      </c>
      <c r="M2" s="5" t="s">
        <v>207</v>
      </c>
      <c r="N2" s="6"/>
      <c r="O2" s="6"/>
      <c r="P2" s="6"/>
      <c r="Q2" s="6"/>
      <c r="R2" s="6"/>
      <c r="S2" s="6"/>
    </row>
    <row r="3" spans="1:21" x14ac:dyDescent="0.3">
      <c r="A3" s="5" t="s">
        <v>215</v>
      </c>
      <c r="B3" s="5" t="s">
        <v>207</v>
      </c>
      <c r="C3" s="6"/>
      <c r="D3" s="6"/>
      <c r="E3" s="6"/>
      <c r="F3" s="6"/>
      <c r="G3" s="6"/>
      <c r="H3" s="6"/>
      <c r="L3" s="5" t="s">
        <v>205</v>
      </c>
      <c r="M3" s="7" t="s">
        <v>208</v>
      </c>
      <c r="N3" s="7" t="s">
        <v>209</v>
      </c>
      <c r="O3" s="7" t="s">
        <v>210</v>
      </c>
      <c r="P3" s="7" t="s">
        <v>211</v>
      </c>
      <c r="Q3" s="7" t="s">
        <v>212</v>
      </c>
      <c r="R3" s="7" t="s">
        <v>236</v>
      </c>
      <c r="S3" s="7" t="s">
        <v>206</v>
      </c>
    </row>
    <row r="4" spans="1:21" x14ac:dyDescent="0.3">
      <c r="A4" s="5" t="s">
        <v>205</v>
      </c>
      <c r="B4" s="7" t="s">
        <v>208</v>
      </c>
      <c r="C4" s="7" t="s">
        <v>209</v>
      </c>
      <c r="D4" s="7" t="s">
        <v>210</v>
      </c>
      <c r="E4" s="7" t="s">
        <v>211</v>
      </c>
      <c r="F4" s="7" t="s">
        <v>212</v>
      </c>
      <c r="G4" s="7" t="s">
        <v>236</v>
      </c>
      <c r="H4" s="7" t="s">
        <v>206</v>
      </c>
      <c r="L4" s="9" t="s">
        <v>234</v>
      </c>
      <c r="M4" s="8">
        <v>11</v>
      </c>
      <c r="N4" s="8">
        <v>10</v>
      </c>
      <c r="O4" s="8">
        <v>11</v>
      </c>
      <c r="P4" s="8">
        <v>8</v>
      </c>
      <c r="Q4" s="8">
        <v>6</v>
      </c>
      <c r="R4" s="8">
        <v>4</v>
      </c>
      <c r="S4" s="8">
        <v>50</v>
      </c>
      <c r="U4" s="4"/>
    </row>
    <row r="5" spans="1:21" x14ac:dyDescent="0.3">
      <c r="A5" s="9" t="s">
        <v>234</v>
      </c>
      <c r="B5" s="8">
        <v>20.799999999999997</v>
      </c>
      <c r="C5" s="8">
        <v>36.800000000000004</v>
      </c>
      <c r="D5" s="8">
        <v>68.599999999999994</v>
      </c>
      <c r="E5" s="8">
        <v>63.500000000000007</v>
      </c>
      <c r="F5" s="8">
        <v>58.699999999999996</v>
      </c>
      <c r="G5" s="8">
        <v>45.400000000000006</v>
      </c>
      <c r="H5" s="8">
        <v>293.79999999999995</v>
      </c>
      <c r="L5" s="9" t="s">
        <v>232</v>
      </c>
      <c r="M5" s="8">
        <v>5</v>
      </c>
      <c r="N5" s="8">
        <v>12</v>
      </c>
      <c r="O5" s="8">
        <v>4</v>
      </c>
      <c r="P5" s="8">
        <v>9</v>
      </c>
      <c r="Q5" s="8">
        <v>5</v>
      </c>
      <c r="R5" s="8">
        <v>5</v>
      </c>
      <c r="S5" s="8">
        <v>40</v>
      </c>
      <c r="U5" s="4"/>
    </row>
    <row r="6" spans="1:21" x14ac:dyDescent="0.3">
      <c r="A6" s="9" t="s">
        <v>232</v>
      </c>
      <c r="B6" s="8">
        <v>8.1000000000000014</v>
      </c>
      <c r="C6" s="8">
        <v>45.400000000000006</v>
      </c>
      <c r="D6" s="8">
        <v>23.700000000000003</v>
      </c>
      <c r="E6" s="8">
        <v>70.600000000000009</v>
      </c>
      <c r="F6" s="8">
        <v>48.6</v>
      </c>
      <c r="G6" s="8">
        <v>57.199999999999996</v>
      </c>
      <c r="H6" s="8">
        <v>253.6</v>
      </c>
      <c r="L6" s="9" t="s">
        <v>214</v>
      </c>
      <c r="M6" s="8">
        <v>6</v>
      </c>
      <c r="N6" s="8">
        <v>10</v>
      </c>
      <c r="O6" s="8">
        <v>6</v>
      </c>
      <c r="P6" s="8">
        <v>7</v>
      </c>
      <c r="Q6" s="8">
        <v>7</v>
      </c>
      <c r="R6" s="8">
        <v>3</v>
      </c>
      <c r="S6" s="8">
        <v>39</v>
      </c>
      <c r="U6" s="4"/>
    </row>
    <row r="7" spans="1:21" x14ac:dyDescent="0.3">
      <c r="A7" s="9" t="s">
        <v>214</v>
      </c>
      <c r="B7" s="8">
        <v>11.700000000000001</v>
      </c>
      <c r="C7" s="8">
        <v>41.5</v>
      </c>
      <c r="D7" s="8">
        <v>37</v>
      </c>
      <c r="E7" s="8">
        <v>55.2</v>
      </c>
      <c r="F7" s="8">
        <v>72.100000000000009</v>
      </c>
      <c r="G7" s="8">
        <v>35.1</v>
      </c>
      <c r="H7" s="8">
        <v>252.6</v>
      </c>
      <c r="L7" s="9" t="s">
        <v>233</v>
      </c>
      <c r="M7" s="8">
        <v>6</v>
      </c>
      <c r="N7" s="8">
        <v>7</v>
      </c>
      <c r="O7" s="8">
        <v>6</v>
      </c>
      <c r="P7" s="8">
        <v>4</v>
      </c>
      <c r="Q7" s="8">
        <v>9</v>
      </c>
      <c r="R7" s="8">
        <v>5</v>
      </c>
      <c r="S7" s="8">
        <v>37</v>
      </c>
      <c r="U7" s="4"/>
    </row>
    <row r="8" spans="1:21" x14ac:dyDescent="0.3">
      <c r="A8" s="9" t="s">
        <v>233</v>
      </c>
      <c r="B8" s="8">
        <v>12.1</v>
      </c>
      <c r="C8" s="8">
        <v>25.8</v>
      </c>
      <c r="D8" s="8">
        <v>34.300000000000004</v>
      </c>
      <c r="E8" s="8">
        <v>31</v>
      </c>
      <c r="F8" s="8">
        <v>90.2</v>
      </c>
      <c r="G8" s="8">
        <v>57.7</v>
      </c>
      <c r="H8" s="8">
        <v>251.10000000000002</v>
      </c>
      <c r="L8" s="9" t="s">
        <v>235</v>
      </c>
      <c r="M8" s="8">
        <v>6</v>
      </c>
      <c r="N8" s="8">
        <v>6</v>
      </c>
      <c r="O8" s="8">
        <v>7</v>
      </c>
      <c r="P8" s="8">
        <v>6</v>
      </c>
      <c r="Q8" s="8">
        <v>7</v>
      </c>
      <c r="R8" s="8">
        <v>2</v>
      </c>
      <c r="S8" s="8">
        <v>34</v>
      </c>
      <c r="U8" s="4"/>
    </row>
    <row r="9" spans="1:21" x14ac:dyDescent="0.3">
      <c r="A9" s="9" t="s">
        <v>235</v>
      </c>
      <c r="B9" s="8">
        <v>11.200000000000001</v>
      </c>
      <c r="C9" s="8">
        <v>21.5</v>
      </c>
      <c r="D9" s="8">
        <v>40</v>
      </c>
      <c r="E9" s="8">
        <v>47.1</v>
      </c>
      <c r="F9" s="8">
        <v>70.7</v>
      </c>
      <c r="G9" s="8">
        <v>23.5</v>
      </c>
      <c r="H9" s="8">
        <v>214</v>
      </c>
      <c r="L9" s="9" t="s">
        <v>206</v>
      </c>
      <c r="M9" s="8">
        <v>34</v>
      </c>
      <c r="N9" s="8">
        <v>45</v>
      </c>
      <c r="O9" s="8">
        <v>34</v>
      </c>
      <c r="P9" s="8">
        <v>34</v>
      </c>
      <c r="Q9" s="8">
        <v>34</v>
      </c>
      <c r="R9" s="8">
        <v>19</v>
      </c>
      <c r="S9" s="8">
        <v>200</v>
      </c>
    </row>
    <row r="10" spans="1:21" x14ac:dyDescent="0.3">
      <c r="A10" s="9" t="s">
        <v>206</v>
      </c>
      <c r="B10" s="8">
        <v>63.900000000000006</v>
      </c>
      <c r="C10" s="8">
        <v>171</v>
      </c>
      <c r="D10" s="8">
        <v>203.60000000000002</v>
      </c>
      <c r="E10" s="8">
        <v>267.40000000000003</v>
      </c>
      <c r="F10" s="8">
        <v>340.30000000000007</v>
      </c>
      <c r="G10" s="8">
        <v>218.9</v>
      </c>
      <c r="H10" s="8">
        <v>1265.0999999999999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11"/>
  <sheetViews>
    <sheetView zoomScale="75" zoomScaleNormal="75" workbookViewId="0">
      <selection activeCell="C4" sqref="C4"/>
    </sheetView>
  </sheetViews>
  <sheetFormatPr defaultRowHeight="14.4" x14ac:dyDescent="0.3"/>
  <cols>
    <col min="1" max="1" width="13.77734375" customWidth="1"/>
    <col min="2" max="3" width="12.44140625" customWidth="1"/>
    <col min="4" max="4" width="21.5546875" customWidth="1"/>
    <col min="5" max="8" width="21.44140625" customWidth="1"/>
    <col min="9" max="10" width="21.44140625" bestFit="1" customWidth="1"/>
    <col min="11" max="11" width="26.21875" customWidth="1"/>
    <col min="12" max="13" width="22.6640625" customWidth="1"/>
    <col min="14" max="16" width="5" bestFit="1" customWidth="1"/>
    <col min="17" max="17" width="21.44140625" bestFit="1" customWidth="1"/>
    <col min="18" max="31" width="4.5546875" bestFit="1" customWidth="1"/>
    <col min="32" max="32" width="22.6640625" bestFit="1" customWidth="1"/>
    <col min="33" max="33" width="26.21875" bestFit="1" customWidth="1"/>
    <col min="34" max="79" width="3.5546875" bestFit="1" customWidth="1"/>
    <col min="80" max="97" width="4.5546875" bestFit="1" customWidth="1"/>
    <col min="98" max="98" width="10.77734375" bestFit="1" customWidth="1"/>
  </cols>
  <sheetData>
    <row r="4" spans="1:3" x14ac:dyDescent="0.3">
      <c r="A4" s="5" t="s">
        <v>205</v>
      </c>
      <c r="B4" s="6" t="s">
        <v>220</v>
      </c>
      <c r="C4" s="6" t="s">
        <v>221</v>
      </c>
    </row>
    <row r="5" spans="1:3" x14ac:dyDescent="0.3">
      <c r="A5" s="9" t="s">
        <v>236</v>
      </c>
      <c r="B5" s="8">
        <v>66.315789473684205</v>
      </c>
      <c r="C5" s="8">
        <v>43.136842105263156</v>
      </c>
    </row>
    <row r="6" spans="1:3" x14ac:dyDescent="0.3">
      <c r="A6" s="9" t="s">
        <v>212</v>
      </c>
      <c r="B6" s="8">
        <v>70.352941176470594</v>
      </c>
      <c r="C6" s="8">
        <v>40.1</v>
      </c>
    </row>
    <row r="7" spans="1:3" x14ac:dyDescent="0.3">
      <c r="A7" s="9" t="s">
        <v>211</v>
      </c>
      <c r="B7" s="8">
        <v>67.17647058823529</v>
      </c>
      <c r="C7" s="8">
        <v>35.761764705882349</v>
      </c>
    </row>
    <row r="8" spans="1:3" x14ac:dyDescent="0.3">
      <c r="A8" s="9" t="s">
        <v>210</v>
      </c>
      <c r="B8" s="8">
        <v>66.147058823529406</v>
      </c>
      <c r="C8" s="8">
        <v>33.529411764705884</v>
      </c>
    </row>
    <row r="9" spans="1:3" x14ac:dyDescent="0.3">
      <c r="A9" s="9" t="s">
        <v>209</v>
      </c>
      <c r="B9" s="8">
        <v>63.422222222222224</v>
      </c>
      <c r="C9" s="8">
        <v>29.211111111111116</v>
      </c>
    </row>
    <row r="10" spans="1:3" x14ac:dyDescent="0.3">
      <c r="A10" s="9" t="s">
        <v>208</v>
      </c>
      <c r="B10" s="8">
        <v>68.264705882352942</v>
      </c>
      <c r="C10" s="8">
        <v>27.576470588235303</v>
      </c>
    </row>
    <row r="11" spans="1:3" x14ac:dyDescent="0.3">
      <c r="A11" s="9" t="s">
        <v>206</v>
      </c>
      <c r="B11" s="8">
        <v>66.8</v>
      </c>
      <c r="C11" s="8">
        <v>33.954999999999991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4" sqref="A4:C4"/>
    </sheetView>
  </sheetViews>
  <sheetFormatPr defaultRowHeight="14.4" x14ac:dyDescent="0.3"/>
  <cols>
    <col min="1" max="1" width="12.109375" customWidth="1"/>
    <col min="2" max="2" width="12.5546875" customWidth="1"/>
    <col min="3" max="3" width="14.33203125" customWidth="1"/>
  </cols>
  <sheetData>
    <row r="3" spans="1:3" x14ac:dyDescent="0.3">
      <c r="A3" s="10" t="s">
        <v>205</v>
      </c>
      <c r="B3" t="s">
        <v>228</v>
      </c>
      <c r="C3" t="s">
        <v>229</v>
      </c>
    </row>
    <row r="4" spans="1:3" x14ac:dyDescent="0.3">
      <c r="A4" s="12" t="s">
        <v>222</v>
      </c>
      <c r="B4" s="11">
        <v>39</v>
      </c>
      <c r="C4" s="11">
        <v>0</v>
      </c>
    </row>
    <row r="5" spans="1:3" x14ac:dyDescent="0.3">
      <c r="A5" s="12" t="s">
        <v>223</v>
      </c>
      <c r="B5" s="11">
        <v>60</v>
      </c>
      <c r="C5" s="11">
        <v>0</v>
      </c>
    </row>
    <row r="6" spans="1:3" x14ac:dyDescent="0.3">
      <c r="A6" s="12" t="s">
        <v>224</v>
      </c>
      <c r="B6" s="11">
        <v>101</v>
      </c>
      <c r="C6" s="11">
        <v>0</v>
      </c>
    </row>
    <row r="7" spans="1:3" x14ac:dyDescent="0.3">
      <c r="A7" s="12" t="s">
        <v>206</v>
      </c>
      <c r="B7" s="11">
        <v>200</v>
      </c>
      <c r="C7" s="1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4"/>
  <sheetViews>
    <sheetView topLeftCell="A4" workbookViewId="0">
      <selection activeCell="M27" sqref="M27"/>
    </sheetView>
  </sheetViews>
  <sheetFormatPr defaultRowHeight="14.4" x14ac:dyDescent="0.3"/>
  <cols>
    <col min="1" max="1" width="13.77734375" bestFit="1" customWidth="1"/>
    <col min="2" max="2" width="17.33203125" customWidth="1"/>
    <col min="3" max="3" width="13.33203125" customWidth="1"/>
  </cols>
  <sheetData>
    <row r="2" spans="2:4" x14ac:dyDescent="0.3">
      <c r="B2" s="22" t="s">
        <v>227</v>
      </c>
      <c r="C2" s="22" t="s">
        <v>225</v>
      </c>
      <c r="D2" s="22" t="s">
        <v>226</v>
      </c>
    </row>
    <row r="3" spans="2:4" x14ac:dyDescent="0.3">
      <c r="B3" s="22" t="s">
        <v>248</v>
      </c>
      <c r="C3">
        <f>COUNTIF('student_exam_scores '!$I$2:$I$201,B3)</f>
        <v>32</v>
      </c>
      <c r="D3">
        <v>0</v>
      </c>
    </row>
    <row r="4" spans="2:4" x14ac:dyDescent="0.3">
      <c r="B4" s="22" t="s">
        <v>250</v>
      </c>
      <c r="C4">
        <f>COUNTIF('student_exam_scores '!$I$2:$I$201,B4)</f>
        <v>37</v>
      </c>
      <c r="D4">
        <v>0</v>
      </c>
    </row>
    <row r="5" spans="2:4" x14ac:dyDescent="0.3">
      <c r="B5" s="22" t="s">
        <v>247</v>
      </c>
      <c r="C5">
        <f>COUNTIF('student_exam_scores '!$I$2:$I$201,B5)</f>
        <v>38</v>
      </c>
      <c r="D5">
        <v>0</v>
      </c>
    </row>
    <row r="6" spans="2:4" x14ac:dyDescent="0.3">
      <c r="B6" s="22" t="s">
        <v>249</v>
      </c>
      <c r="C6">
        <f>COUNTIF('student_exam_scores '!$I$2:$I$201,B6)</f>
        <v>44</v>
      </c>
      <c r="D6">
        <v>0</v>
      </c>
    </row>
    <row r="7" spans="2:4" x14ac:dyDescent="0.3">
      <c r="B7" s="22" t="s">
        <v>251</v>
      </c>
      <c r="C7">
        <f>COUNTIF('student_exam_scores '!$I$2:$I$201,B7)</f>
        <v>49</v>
      </c>
      <c r="D7">
        <v>0</v>
      </c>
    </row>
    <row r="9" spans="2:4" x14ac:dyDescent="0.3">
      <c r="B9" s="22" t="s">
        <v>238</v>
      </c>
      <c r="C9" s="22" t="s">
        <v>239</v>
      </c>
      <c r="D9" s="22" t="s">
        <v>240</v>
      </c>
    </row>
    <row r="10" spans="2:4" x14ac:dyDescent="0.3">
      <c r="B10" s="22" t="s">
        <v>245</v>
      </c>
      <c r="C10">
        <v>34</v>
      </c>
      <c r="D10">
        <f>COUNTIF('student_exam_scores '!$K$2:$K$203,"Fail")</f>
        <v>162</v>
      </c>
    </row>
    <row r="11" spans="2:4" x14ac:dyDescent="0.3">
      <c r="B11" s="22" t="s">
        <v>244</v>
      </c>
      <c r="C11">
        <f>COUNTIF('student_exam_scores '!$L$2:$L$203,"pass")</f>
        <v>166</v>
      </c>
      <c r="D11">
        <f>COUNTIF('student_exam_scores '!$K$2:$K$203,"Pass")</f>
        <v>38</v>
      </c>
    </row>
    <row r="13" spans="2:4" x14ac:dyDescent="0.3">
      <c r="B13" s="22" t="s">
        <v>252</v>
      </c>
    </row>
    <row r="14" spans="2:4" x14ac:dyDescent="0.3">
      <c r="B14" s="22" t="s">
        <v>253</v>
      </c>
      <c r="C14">
        <f>COUNTIF('student_exam_scores '!$M$2:$M$201,B14)</f>
        <v>200</v>
      </c>
    </row>
    <row r="15" spans="2:4" x14ac:dyDescent="0.3">
      <c r="B15" s="22" t="s">
        <v>254</v>
      </c>
      <c r="C15">
        <f>COUNTIF('student_exam_scores '!$M$2:$M$201,B15)</f>
        <v>0</v>
      </c>
    </row>
    <row r="19" spans="13:15" x14ac:dyDescent="0.3">
      <c r="M19" s="18"/>
      <c r="N19" s="18"/>
      <c r="O19" s="18"/>
    </row>
    <row r="20" spans="13:15" x14ac:dyDescent="0.3">
      <c r="M20" s="15"/>
      <c r="N20" s="15"/>
      <c r="O20" s="15"/>
    </row>
    <row r="21" spans="13:15" x14ac:dyDescent="0.3">
      <c r="M21" s="15"/>
      <c r="N21" s="15"/>
      <c r="O21" s="15"/>
    </row>
    <row r="22" spans="13:15" x14ac:dyDescent="0.3">
      <c r="M22" s="15"/>
      <c r="N22" s="15"/>
      <c r="O22" s="15"/>
    </row>
    <row r="23" spans="13:15" x14ac:dyDescent="0.3">
      <c r="M23" s="15"/>
      <c r="N23" s="15"/>
      <c r="O23" s="15"/>
    </row>
    <row r="24" spans="13:15" x14ac:dyDescent="0.3">
      <c r="M24" s="15"/>
      <c r="N24" s="15"/>
      <c r="O24" s="15"/>
    </row>
    <row r="25" spans="13:15" x14ac:dyDescent="0.3">
      <c r="M25" s="15"/>
      <c r="N25" s="15"/>
      <c r="O25" s="15"/>
    </row>
    <row r="26" spans="13:15" x14ac:dyDescent="0.3">
      <c r="M26" s="15"/>
      <c r="N26" s="15"/>
      <c r="O26" s="15"/>
    </row>
    <row r="27" spans="13:15" x14ac:dyDescent="0.3">
      <c r="M27" s="20"/>
      <c r="N27" s="21"/>
      <c r="O27" s="15"/>
    </row>
    <row r="28" spans="13:15" x14ac:dyDescent="0.3">
      <c r="M28" s="15"/>
      <c r="N28" s="15"/>
      <c r="O28" s="15"/>
    </row>
    <row r="29" spans="13:15" x14ac:dyDescent="0.3">
      <c r="M29" s="15"/>
      <c r="N29" s="15"/>
      <c r="O29" s="15"/>
    </row>
    <row r="30" spans="13:15" x14ac:dyDescent="0.3">
      <c r="M30" s="18"/>
      <c r="N30" s="15"/>
      <c r="O30" s="15"/>
    </row>
    <row r="31" spans="13:15" x14ac:dyDescent="0.3">
      <c r="M31" s="15"/>
      <c r="N31" s="15"/>
      <c r="O31" s="15"/>
    </row>
    <row r="32" spans="13:15" x14ac:dyDescent="0.3">
      <c r="M32" s="15"/>
      <c r="N32" s="15"/>
      <c r="O32" s="15"/>
    </row>
    <row r="33" spans="13:15" x14ac:dyDescent="0.3">
      <c r="M33" s="15"/>
      <c r="N33" s="15"/>
      <c r="O33" s="15"/>
    </row>
    <row r="34" spans="13:15" x14ac:dyDescent="0.3">
      <c r="M34" s="15"/>
      <c r="N34" s="15"/>
      <c r="O34"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A2" workbookViewId="0">
      <selection activeCell="D30" sqref="D30"/>
    </sheetView>
  </sheetViews>
  <sheetFormatPr defaultRowHeight="14.4" x14ac:dyDescent="0.3"/>
  <cols>
    <col min="1" max="1" width="12.5546875" customWidth="1"/>
    <col min="2" max="2" width="24.5546875" customWidth="1"/>
    <col min="3" max="3" width="4.5546875" customWidth="1"/>
    <col min="4" max="55" width="4.5546875" bestFit="1" customWidth="1"/>
    <col min="56" max="56" width="10.77734375" bestFit="1" customWidth="1"/>
    <col min="57" max="57" width="7.6640625" bestFit="1" customWidth="1"/>
    <col min="58" max="67" width="5" bestFit="1" customWidth="1"/>
    <col min="68" max="68" width="10.33203125" bestFit="1" customWidth="1"/>
    <col min="69" max="69" width="10.77734375" bestFit="1" customWidth="1"/>
    <col min="70" max="79" width="3.5546875" bestFit="1" customWidth="1"/>
    <col min="80" max="97" width="4.5546875" bestFit="1" customWidth="1"/>
    <col min="98" max="98" width="10.77734375" bestFit="1" customWidth="1"/>
  </cols>
  <sheetData>
    <row r="3" spans="1:2" x14ac:dyDescent="0.3">
      <c r="A3" s="5" t="s">
        <v>205</v>
      </c>
      <c r="B3" s="6" t="s">
        <v>230</v>
      </c>
    </row>
    <row r="4" spans="1:2" x14ac:dyDescent="0.3">
      <c r="A4" s="9" t="s">
        <v>212</v>
      </c>
      <c r="B4" s="8">
        <v>70.352941176470594</v>
      </c>
    </row>
    <row r="5" spans="1:2" x14ac:dyDescent="0.3">
      <c r="A5" s="9" t="s">
        <v>208</v>
      </c>
      <c r="B5" s="8">
        <v>68.264705882352942</v>
      </c>
    </row>
    <row r="6" spans="1:2" x14ac:dyDescent="0.3">
      <c r="A6" s="9" t="s">
        <v>211</v>
      </c>
      <c r="B6" s="8">
        <v>67.17647058823529</v>
      </c>
    </row>
    <row r="7" spans="1:2" x14ac:dyDescent="0.3">
      <c r="A7" s="9" t="s">
        <v>236</v>
      </c>
      <c r="B7" s="8">
        <v>66.315789473684205</v>
      </c>
    </row>
    <row r="8" spans="1:2" x14ac:dyDescent="0.3">
      <c r="A8" s="9" t="s">
        <v>210</v>
      </c>
      <c r="B8" s="8">
        <v>66.147058823529406</v>
      </c>
    </row>
    <row r="9" spans="1:2" x14ac:dyDescent="0.3">
      <c r="A9" s="9" t="s">
        <v>209</v>
      </c>
      <c r="B9" s="8">
        <v>63.422222222222224</v>
      </c>
    </row>
    <row r="10" spans="1:2" x14ac:dyDescent="0.3">
      <c r="A10" s="9" t="s">
        <v>206</v>
      </c>
      <c r="B10" s="8">
        <v>66.8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5" sqref="A4:A9"/>
      <pivotSelection pane="bottomRight" showHeader="1" axis="axisRow" activeRow="4" previousRow="4" click="1" r:id="rId1">
        <pivotArea dataOnly="0" labelOnly="1" fieldPosition="0">
          <references count="1">
            <reference field="2" count="0"/>
          </references>
        </pivotArea>
      </pivotSelection>
    </sheetView>
  </sheetViews>
  <sheetFormatPr defaultRowHeight="14.4" x14ac:dyDescent="0.3"/>
  <cols>
    <col min="1" max="1" width="12.5546875" customWidth="1"/>
    <col min="2" max="2" width="21" customWidth="1"/>
    <col min="3" max="3" width="17.88671875" customWidth="1"/>
    <col min="4" max="55" width="4.5546875" bestFit="1" customWidth="1"/>
    <col min="56" max="56" width="10.77734375" bestFit="1" customWidth="1"/>
    <col min="57" max="57" width="7.6640625" bestFit="1" customWidth="1"/>
    <col min="58" max="67" width="5" bestFit="1" customWidth="1"/>
    <col min="68" max="68" width="10.33203125" bestFit="1" customWidth="1"/>
    <col min="69" max="69" width="10.77734375" bestFit="1" customWidth="1"/>
    <col min="70" max="79" width="3.5546875" bestFit="1" customWidth="1"/>
    <col min="80" max="97" width="4.5546875" bestFit="1" customWidth="1"/>
    <col min="98" max="98" width="10.77734375" bestFit="1" customWidth="1"/>
  </cols>
  <sheetData>
    <row r="3" spans="1:2" x14ac:dyDescent="0.3">
      <c r="A3" s="5" t="s">
        <v>205</v>
      </c>
      <c r="B3" s="6" t="s">
        <v>231</v>
      </c>
    </row>
    <row r="4" spans="1:2" x14ac:dyDescent="0.3">
      <c r="A4" s="9" t="s">
        <v>237</v>
      </c>
      <c r="B4" s="8">
        <v>43.136842105263156</v>
      </c>
    </row>
    <row r="5" spans="1:2" x14ac:dyDescent="0.3">
      <c r="A5" s="9" t="s">
        <v>213</v>
      </c>
      <c r="B5" s="8">
        <v>40.1</v>
      </c>
    </row>
    <row r="6" spans="1:2" x14ac:dyDescent="0.3">
      <c r="A6" s="9" t="s">
        <v>219</v>
      </c>
      <c r="B6" s="8">
        <v>35.761764705882349</v>
      </c>
    </row>
    <row r="7" spans="1:2" x14ac:dyDescent="0.3">
      <c r="A7" s="9" t="s">
        <v>218</v>
      </c>
      <c r="B7" s="8">
        <v>33.529411764705884</v>
      </c>
    </row>
    <row r="8" spans="1:2" x14ac:dyDescent="0.3">
      <c r="A8" s="9" t="s">
        <v>217</v>
      </c>
      <c r="B8" s="8">
        <v>29.211111111111116</v>
      </c>
    </row>
    <row r="9" spans="1:2" x14ac:dyDescent="0.3">
      <c r="A9" s="9" t="s">
        <v>216</v>
      </c>
      <c r="B9" s="8">
        <v>27.576470588235303</v>
      </c>
    </row>
    <row r="10" spans="1:2" x14ac:dyDescent="0.3">
      <c r="A10" s="9" t="s">
        <v>206</v>
      </c>
      <c r="B10" s="8">
        <v>33.954999999999991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0"/>
  <sheetViews>
    <sheetView showGridLines="0" showRowColHeaders="0" tabSelected="1" zoomScale="72" zoomScaleNormal="72" workbookViewId="0">
      <selection activeCell="B1" sqref="B1:T1"/>
    </sheetView>
  </sheetViews>
  <sheetFormatPr defaultRowHeight="14.4" x14ac:dyDescent="0.3"/>
  <sheetData>
    <row r="1" spans="1:36" x14ac:dyDescent="0.3">
      <c r="A1" s="23"/>
      <c r="B1" s="24"/>
      <c r="C1" s="24"/>
      <c r="D1" s="24"/>
      <c r="E1" s="24"/>
      <c r="F1" s="24"/>
      <c r="G1" s="24"/>
      <c r="H1" s="24"/>
      <c r="I1" s="24"/>
      <c r="J1" s="24"/>
      <c r="K1" s="24"/>
      <c r="L1" s="24"/>
      <c r="M1" s="24"/>
      <c r="N1" s="24"/>
      <c r="O1" s="24"/>
      <c r="P1" s="24"/>
      <c r="Q1" s="24"/>
      <c r="R1" s="24"/>
      <c r="S1" s="24"/>
      <c r="T1" s="24"/>
      <c r="U1" s="24"/>
      <c r="V1" s="24"/>
      <c r="W1" s="24"/>
      <c r="X1" s="24"/>
      <c r="Y1" s="23"/>
      <c r="Z1" s="15"/>
      <c r="AA1" s="15"/>
      <c r="AB1" s="15"/>
      <c r="AC1" s="15"/>
      <c r="AD1" s="15"/>
      <c r="AE1" s="15"/>
      <c r="AF1" s="15"/>
      <c r="AG1" s="15"/>
      <c r="AH1" s="15"/>
      <c r="AI1" s="15"/>
      <c r="AJ1" s="15"/>
    </row>
    <row r="2" spans="1:36" x14ac:dyDescent="0.3">
      <c r="A2" s="23"/>
      <c r="B2" s="24"/>
      <c r="C2" s="24"/>
      <c r="D2" s="24"/>
      <c r="E2" s="24"/>
      <c r="F2" s="24"/>
      <c r="G2" s="24"/>
      <c r="H2" s="24"/>
      <c r="I2" s="24"/>
      <c r="J2" s="24"/>
      <c r="K2" s="24"/>
      <c r="L2" s="24"/>
      <c r="M2" s="24"/>
      <c r="N2" s="24"/>
      <c r="O2" s="24"/>
      <c r="P2" s="24"/>
      <c r="Q2" s="24"/>
      <c r="R2" s="24"/>
      <c r="S2" s="24"/>
      <c r="T2" s="24"/>
      <c r="U2" s="24"/>
      <c r="V2" s="24"/>
      <c r="W2" s="24"/>
      <c r="X2" s="24"/>
      <c r="Y2" s="23"/>
      <c r="Z2" s="15"/>
      <c r="AA2" s="15"/>
      <c r="AB2" s="15"/>
      <c r="AC2" s="15"/>
      <c r="AD2" s="15"/>
      <c r="AE2" s="15"/>
      <c r="AF2" s="15"/>
      <c r="AG2" s="15"/>
      <c r="AH2" s="15"/>
      <c r="AI2" s="15"/>
      <c r="AJ2" s="15"/>
    </row>
    <row r="3" spans="1:36" x14ac:dyDescent="0.3">
      <c r="A3" s="23"/>
      <c r="B3" s="24"/>
      <c r="C3" s="24"/>
      <c r="D3" s="24"/>
      <c r="E3" s="24"/>
      <c r="F3" s="24"/>
      <c r="G3" s="24"/>
      <c r="H3" s="24"/>
      <c r="I3" s="24"/>
      <c r="J3" s="24"/>
      <c r="K3" s="24"/>
      <c r="L3" s="24"/>
      <c r="M3" s="24"/>
      <c r="N3" s="24"/>
      <c r="O3" s="24"/>
      <c r="P3" s="24"/>
      <c r="Q3" s="24"/>
      <c r="R3" s="24"/>
      <c r="S3" s="24"/>
      <c r="T3" s="24"/>
      <c r="U3" s="24"/>
      <c r="V3" s="24"/>
      <c r="W3" s="24"/>
      <c r="X3" s="24"/>
      <c r="Y3" s="23"/>
      <c r="Z3" s="15"/>
      <c r="AA3" s="15"/>
      <c r="AB3" s="15"/>
      <c r="AC3" s="15"/>
      <c r="AD3" s="15"/>
      <c r="AE3" s="15"/>
      <c r="AF3" s="15"/>
      <c r="AG3" s="15"/>
      <c r="AH3" s="15"/>
      <c r="AI3" s="15"/>
      <c r="AJ3" s="15"/>
    </row>
    <row r="4" spans="1:36" x14ac:dyDescent="0.3">
      <c r="A4" s="23"/>
      <c r="B4" s="24"/>
      <c r="C4" s="24"/>
      <c r="D4" s="24"/>
      <c r="E4" s="24"/>
      <c r="F4" s="24"/>
      <c r="G4" s="24"/>
      <c r="H4" s="24"/>
      <c r="I4" s="24"/>
      <c r="J4" s="24"/>
      <c r="K4" s="24"/>
      <c r="L4" s="24"/>
      <c r="M4" s="24"/>
      <c r="N4" s="24"/>
      <c r="O4" s="24"/>
      <c r="P4" s="24"/>
      <c r="Q4" s="24"/>
      <c r="R4" s="24"/>
      <c r="S4" s="24"/>
      <c r="T4" s="24"/>
      <c r="U4" s="24"/>
      <c r="V4" s="24"/>
      <c r="W4" s="24"/>
      <c r="X4" s="24"/>
      <c r="Y4" s="23"/>
      <c r="Z4" s="15"/>
      <c r="AA4" s="15"/>
      <c r="AB4" s="15"/>
      <c r="AC4" s="15"/>
      <c r="AD4" s="15"/>
      <c r="AE4" s="15"/>
      <c r="AF4" s="15"/>
      <c r="AG4" s="15"/>
      <c r="AH4" s="15"/>
      <c r="AI4" s="15"/>
      <c r="AJ4" s="15"/>
    </row>
    <row r="5" spans="1:36" x14ac:dyDescent="0.3">
      <c r="A5" s="23"/>
      <c r="B5" s="24"/>
      <c r="C5" s="24"/>
      <c r="D5" s="24"/>
      <c r="E5" s="24"/>
      <c r="F5" s="24"/>
      <c r="G5" s="24"/>
      <c r="H5" s="24"/>
      <c r="I5" s="24"/>
      <c r="J5" s="24"/>
      <c r="K5" s="24"/>
      <c r="L5" s="24"/>
      <c r="M5" s="24"/>
      <c r="N5" s="24"/>
      <c r="O5" s="24"/>
      <c r="P5" s="24"/>
      <c r="Q5" s="24"/>
      <c r="R5" s="24"/>
      <c r="S5" s="24"/>
      <c r="T5" s="24"/>
      <c r="U5" s="24"/>
      <c r="V5" s="24"/>
      <c r="W5" s="24"/>
      <c r="X5" s="24"/>
      <c r="Y5" s="23"/>
      <c r="Z5" s="15"/>
      <c r="AA5" s="15"/>
      <c r="AB5" s="15"/>
      <c r="AC5" s="15"/>
      <c r="AD5" s="15"/>
      <c r="AE5" s="15"/>
      <c r="AF5" s="15"/>
      <c r="AG5" s="15"/>
      <c r="AH5" s="15"/>
      <c r="AI5" s="15"/>
      <c r="AJ5" s="15"/>
    </row>
    <row r="6" spans="1:36" x14ac:dyDescent="0.3">
      <c r="A6" s="23"/>
      <c r="B6" s="24"/>
      <c r="C6" s="24"/>
      <c r="D6" s="24"/>
      <c r="E6" s="24"/>
      <c r="F6" s="24"/>
      <c r="G6" s="24"/>
      <c r="H6" s="24"/>
      <c r="I6" s="24"/>
      <c r="J6" s="24"/>
      <c r="K6" s="24"/>
      <c r="L6" s="24"/>
      <c r="M6" s="24"/>
      <c r="N6" s="24"/>
      <c r="O6" s="24"/>
      <c r="P6" s="24"/>
      <c r="Q6" s="24"/>
      <c r="R6" s="24"/>
      <c r="S6" s="24"/>
      <c r="T6" s="24"/>
      <c r="U6" s="24"/>
      <c r="V6" s="24"/>
      <c r="W6" s="24"/>
      <c r="X6" s="24"/>
      <c r="Y6" s="23"/>
      <c r="Z6" s="15"/>
      <c r="AA6" s="15"/>
      <c r="AB6" s="15"/>
      <c r="AC6" s="15"/>
      <c r="AD6" s="15"/>
      <c r="AE6" s="15"/>
      <c r="AF6" s="15"/>
      <c r="AG6" s="15"/>
      <c r="AH6" s="15"/>
      <c r="AI6" s="15"/>
      <c r="AJ6" s="15"/>
    </row>
    <row r="7" spans="1:36" x14ac:dyDescent="0.3">
      <c r="A7" s="23"/>
      <c r="B7" s="24"/>
      <c r="C7" s="24"/>
      <c r="D7" s="24"/>
      <c r="E7" s="24"/>
      <c r="F7" s="24"/>
      <c r="G7" s="24"/>
      <c r="H7" s="24"/>
      <c r="I7" s="24"/>
      <c r="J7" s="24"/>
      <c r="K7" s="24"/>
      <c r="L7" s="24"/>
      <c r="M7" s="24"/>
      <c r="N7" s="24"/>
      <c r="O7" s="24"/>
      <c r="P7" s="24"/>
      <c r="Q7" s="24"/>
      <c r="R7" s="24"/>
      <c r="S7" s="24"/>
      <c r="T7" s="24"/>
      <c r="U7" s="24"/>
      <c r="V7" s="24"/>
      <c r="W7" s="24"/>
      <c r="X7" s="24"/>
      <c r="Y7" s="23"/>
      <c r="Z7" s="15"/>
      <c r="AA7" s="15"/>
      <c r="AB7" s="15"/>
      <c r="AC7" s="15"/>
      <c r="AD7" s="15"/>
      <c r="AE7" s="15"/>
      <c r="AF7" s="15"/>
      <c r="AG7" s="15"/>
      <c r="AH7" s="15"/>
      <c r="AI7" s="15"/>
      <c r="AJ7" s="15"/>
    </row>
    <row r="8" spans="1:36" x14ac:dyDescent="0.3">
      <c r="A8" s="23"/>
      <c r="B8" s="24"/>
      <c r="C8" s="24"/>
      <c r="D8" s="24"/>
      <c r="E8" s="24"/>
      <c r="F8" s="24"/>
      <c r="G8" s="24"/>
      <c r="H8" s="24"/>
      <c r="I8" s="24"/>
      <c r="J8" s="24"/>
      <c r="K8" s="24"/>
      <c r="L8" s="24"/>
      <c r="M8" s="24"/>
      <c r="N8" s="24"/>
      <c r="O8" s="24"/>
      <c r="P8" s="24"/>
      <c r="Q8" s="24"/>
      <c r="R8" s="24"/>
      <c r="S8" s="24"/>
      <c r="T8" s="24"/>
      <c r="U8" s="24"/>
      <c r="V8" s="24"/>
      <c r="W8" s="24"/>
      <c r="X8" s="24"/>
      <c r="Y8" s="23"/>
      <c r="Z8" s="15"/>
      <c r="AA8" s="15"/>
      <c r="AB8" s="15"/>
      <c r="AC8" s="15"/>
      <c r="AD8" s="15"/>
      <c r="AE8" s="15"/>
      <c r="AF8" s="15"/>
      <c r="AG8" s="15"/>
      <c r="AH8" s="15"/>
      <c r="AI8" s="15"/>
      <c r="AJ8" s="15"/>
    </row>
    <row r="9" spans="1:36" x14ac:dyDescent="0.3">
      <c r="A9" s="23"/>
      <c r="B9" s="24"/>
      <c r="C9" s="24"/>
      <c r="D9" s="24"/>
      <c r="E9" s="24"/>
      <c r="F9" s="24"/>
      <c r="G9" s="24"/>
      <c r="H9" s="24"/>
      <c r="I9" s="24"/>
      <c r="J9" s="24"/>
      <c r="K9" s="24"/>
      <c r="L9" s="24"/>
      <c r="M9" s="24"/>
      <c r="N9" s="24"/>
      <c r="O9" s="24"/>
      <c r="P9" s="24"/>
      <c r="Q9" s="24"/>
      <c r="R9" s="24"/>
      <c r="S9" s="24"/>
      <c r="T9" s="24"/>
      <c r="U9" s="24"/>
      <c r="V9" s="24"/>
      <c r="W9" s="24"/>
      <c r="X9" s="24"/>
      <c r="Y9" s="23"/>
      <c r="Z9" s="15"/>
      <c r="AA9" s="15"/>
      <c r="AB9" s="15"/>
      <c r="AC9" s="15"/>
      <c r="AD9" s="15"/>
      <c r="AE9" s="15"/>
      <c r="AF9" s="15"/>
      <c r="AG9" s="15"/>
      <c r="AH9" s="15"/>
      <c r="AI9" s="15"/>
      <c r="AJ9" s="15"/>
    </row>
    <row r="10" spans="1:36" x14ac:dyDescent="0.3">
      <c r="A10" s="23"/>
      <c r="B10" s="24"/>
      <c r="C10" s="24"/>
      <c r="D10" s="24"/>
      <c r="E10" s="24"/>
      <c r="F10" s="24"/>
      <c r="G10" s="24"/>
      <c r="H10" s="24"/>
      <c r="I10" s="24"/>
      <c r="J10" s="24"/>
      <c r="K10" s="24"/>
      <c r="L10" s="24"/>
      <c r="M10" s="24"/>
      <c r="N10" s="24"/>
      <c r="O10" s="24"/>
      <c r="P10" s="24"/>
      <c r="Q10" s="24"/>
      <c r="R10" s="24"/>
      <c r="S10" s="24"/>
      <c r="T10" s="24"/>
      <c r="U10" s="24"/>
      <c r="V10" s="24"/>
      <c r="W10" s="24"/>
      <c r="X10" s="24"/>
      <c r="Y10" s="23"/>
      <c r="Z10" s="15"/>
      <c r="AA10" s="15"/>
      <c r="AB10" s="15"/>
      <c r="AC10" s="15"/>
      <c r="AD10" s="15"/>
      <c r="AE10" s="15"/>
      <c r="AF10" s="15"/>
      <c r="AG10" s="15"/>
      <c r="AH10" s="15"/>
      <c r="AI10" s="15"/>
      <c r="AJ10" s="15"/>
    </row>
    <row r="11" spans="1:36" x14ac:dyDescent="0.3">
      <c r="A11" s="23"/>
      <c r="B11" s="24"/>
      <c r="C11" s="24"/>
      <c r="D11" s="24"/>
      <c r="E11" s="24"/>
      <c r="F11" s="24"/>
      <c r="G11" s="24" t="str">
        <f>PROPER(E3)</f>
        <v/>
      </c>
      <c r="H11" s="24"/>
      <c r="I11" s="24"/>
      <c r="J11" s="24"/>
      <c r="K11" s="24"/>
      <c r="L11" s="24"/>
      <c r="M11" s="24"/>
      <c r="N11" s="24"/>
      <c r="O11" s="24"/>
      <c r="P11" s="24"/>
      <c r="Q11" s="24"/>
      <c r="R11" s="24"/>
      <c r="S11" s="24"/>
      <c r="T11" s="24"/>
      <c r="U11" s="24"/>
      <c r="V11" s="24"/>
      <c r="W11" s="24"/>
      <c r="X11" s="24"/>
      <c r="Y11" s="23"/>
      <c r="Z11" s="15"/>
      <c r="AA11" s="15"/>
      <c r="AB11" s="15"/>
      <c r="AC11" s="15"/>
      <c r="AD11" s="15"/>
      <c r="AE11" s="15"/>
      <c r="AF11" s="15"/>
      <c r="AG11" s="15"/>
      <c r="AH11" s="15"/>
      <c r="AI11" s="15"/>
      <c r="AJ11" s="15"/>
    </row>
    <row r="12" spans="1:36" x14ac:dyDescent="0.3">
      <c r="A12" s="23"/>
      <c r="B12" s="24"/>
      <c r="C12" s="24"/>
      <c r="D12" s="24"/>
      <c r="E12" s="24"/>
      <c r="F12" s="24"/>
      <c r="G12" s="24"/>
      <c r="H12" s="24"/>
      <c r="I12" s="24"/>
      <c r="J12" s="24"/>
      <c r="K12" s="24"/>
      <c r="L12" s="24"/>
      <c r="M12" s="24"/>
      <c r="N12" s="24"/>
      <c r="O12" s="24"/>
      <c r="P12" s="24"/>
      <c r="Q12" s="24"/>
      <c r="R12" s="24"/>
      <c r="S12" s="24"/>
      <c r="T12" s="24"/>
      <c r="U12" s="24"/>
      <c r="V12" s="24"/>
      <c r="W12" s="24"/>
      <c r="X12" s="24"/>
      <c r="Y12" s="23"/>
      <c r="Z12" s="15"/>
      <c r="AA12" s="15"/>
      <c r="AB12" s="15"/>
      <c r="AC12" s="15"/>
      <c r="AD12" s="15"/>
      <c r="AE12" s="15"/>
      <c r="AF12" s="15"/>
      <c r="AG12" s="15"/>
      <c r="AH12" s="15"/>
      <c r="AI12" s="15"/>
      <c r="AJ12" s="15"/>
    </row>
    <row r="13" spans="1:36" x14ac:dyDescent="0.3">
      <c r="A13" s="23"/>
      <c r="B13" s="24"/>
      <c r="C13" s="24"/>
      <c r="D13" s="24"/>
      <c r="E13" s="24"/>
      <c r="F13" s="24"/>
      <c r="G13" s="24"/>
      <c r="H13" s="24"/>
      <c r="I13" s="24"/>
      <c r="J13" s="24"/>
      <c r="K13" s="24"/>
      <c r="L13" s="24"/>
      <c r="M13" s="24"/>
      <c r="N13" s="24"/>
      <c r="O13" s="24"/>
      <c r="P13" s="24"/>
      <c r="Q13" s="24"/>
      <c r="R13" s="24"/>
      <c r="S13" s="24"/>
      <c r="T13" s="24"/>
      <c r="U13" s="24"/>
      <c r="V13" s="24"/>
      <c r="W13" s="24"/>
      <c r="X13" s="24"/>
      <c r="Y13" s="23"/>
      <c r="Z13" s="15"/>
      <c r="AA13" s="15"/>
      <c r="AB13" s="15"/>
      <c r="AC13" s="15"/>
      <c r="AD13" s="15"/>
      <c r="AE13" s="15"/>
      <c r="AF13" s="15"/>
      <c r="AG13" s="15"/>
      <c r="AH13" s="15"/>
      <c r="AI13" s="15"/>
      <c r="AJ13" s="15"/>
    </row>
    <row r="14" spans="1:36" x14ac:dyDescent="0.3">
      <c r="A14" s="23"/>
      <c r="B14" s="24"/>
      <c r="C14" s="24"/>
      <c r="D14" s="24"/>
      <c r="E14" s="24"/>
      <c r="F14" s="24"/>
      <c r="G14" s="24"/>
      <c r="H14" s="24"/>
      <c r="I14" s="24"/>
      <c r="J14" s="24"/>
      <c r="K14" s="24"/>
      <c r="L14" s="24"/>
      <c r="M14" s="24"/>
      <c r="N14" s="24"/>
      <c r="O14" s="24"/>
      <c r="P14" s="24"/>
      <c r="Q14" s="24"/>
      <c r="R14" s="24"/>
      <c r="S14" s="24"/>
      <c r="T14" s="24"/>
      <c r="U14" s="24"/>
      <c r="V14" s="24"/>
      <c r="W14" s="24"/>
      <c r="X14" s="24"/>
      <c r="Y14" s="23"/>
      <c r="Z14" s="15"/>
      <c r="AA14" s="15"/>
      <c r="AB14" s="15"/>
      <c r="AC14" s="15"/>
      <c r="AD14" s="15"/>
      <c r="AE14" s="15"/>
      <c r="AF14" s="15"/>
      <c r="AG14" s="15"/>
      <c r="AH14" s="15"/>
      <c r="AI14" s="15"/>
      <c r="AJ14" s="15"/>
    </row>
    <row r="15" spans="1:36" x14ac:dyDescent="0.3">
      <c r="A15" s="23"/>
      <c r="B15" s="24"/>
      <c r="C15" s="24"/>
      <c r="D15" s="24"/>
      <c r="E15" s="24"/>
      <c r="F15" s="24"/>
      <c r="G15" s="24"/>
      <c r="H15" s="24"/>
      <c r="I15" s="24"/>
      <c r="J15" s="24"/>
      <c r="K15" s="24"/>
      <c r="L15" s="24"/>
      <c r="M15" s="24"/>
      <c r="N15" s="24"/>
      <c r="O15" s="24"/>
      <c r="P15" s="24"/>
      <c r="Q15" s="24"/>
      <c r="R15" s="24"/>
      <c r="S15" s="24"/>
      <c r="T15" s="24"/>
      <c r="U15" s="24"/>
      <c r="V15" s="24"/>
      <c r="W15" s="24"/>
      <c r="X15" s="24"/>
      <c r="Y15" s="23"/>
      <c r="Z15" s="15"/>
      <c r="AA15" s="15"/>
      <c r="AB15" s="15"/>
      <c r="AC15" s="15"/>
      <c r="AD15" s="15"/>
      <c r="AE15" s="15"/>
      <c r="AF15" s="15"/>
      <c r="AG15" s="15"/>
      <c r="AH15" s="15"/>
      <c r="AI15" s="15"/>
      <c r="AJ15" s="15"/>
    </row>
    <row r="16" spans="1:36" x14ac:dyDescent="0.3">
      <c r="A16" s="23"/>
      <c r="B16" s="24"/>
      <c r="C16" s="24"/>
      <c r="D16" s="24"/>
      <c r="E16" s="24"/>
      <c r="F16" s="24"/>
      <c r="G16" s="24"/>
      <c r="H16" s="24"/>
      <c r="I16" s="24"/>
      <c r="J16" s="24"/>
      <c r="K16" s="24"/>
      <c r="L16" s="24"/>
      <c r="M16" s="24"/>
      <c r="N16" s="24"/>
      <c r="O16" s="24"/>
      <c r="P16" s="24"/>
      <c r="Q16" s="24"/>
      <c r="R16" s="24"/>
      <c r="S16" s="24"/>
      <c r="T16" s="24"/>
      <c r="U16" s="24"/>
      <c r="V16" s="24"/>
      <c r="W16" s="24"/>
      <c r="X16" s="24"/>
      <c r="Y16" s="23"/>
      <c r="Z16" s="15"/>
      <c r="AA16" s="15"/>
      <c r="AB16" s="15"/>
      <c r="AC16" s="15"/>
      <c r="AD16" s="15"/>
      <c r="AE16" s="15"/>
      <c r="AF16" s="15"/>
      <c r="AG16" s="15"/>
      <c r="AH16" s="15"/>
      <c r="AI16" s="15"/>
      <c r="AJ16" s="15"/>
    </row>
    <row r="17" spans="1:36" x14ac:dyDescent="0.3">
      <c r="A17" s="23"/>
      <c r="B17" s="24"/>
      <c r="C17" s="24"/>
      <c r="D17" s="24"/>
      <c r="E17" s="24"/>
      <c r="F17" s="24"/>
      <c r="G17" s="24"/>
      <c r="H17" s="24"/>
      <c r="I17" s="24"/>
      <c r="J17" s="24"/>
      <c r="K17" s="24"/>
      <c r="L17" s="24"/>
      <c r="M17" s="24"/>
      <c r="N17" s="24"/>
      <c r="O17" s="24"/>
      <c r="P17" s="24"/>
      <c r="Q17" s="24"/>
      <c r="R17" s="24"/>
      <c r="S17" s="24"/>
      <c r="T17" s="24"/>
      <c r="U17" s="24"/>
      <c r="V17" s="24"/>
      <c r="W17" s="24"/>
      <c r="X17" s="24"/>
      <c r="Y17" s="23"/>
      <c r="Z17" s="15"/>
      <c r="AA17" s="15"/>
      <c r="AB17" s="15"/>
      <c r="AC17" s="15"/>
      <c r="AD17" s="15"/>
      <c r="AE17" s="15"/>
      <c r="AF17" s="15"/>
      <c r="AG17" s="15"/>
      <c r="AH17" s="15"/>
      <c r="AI17" s="15"/>
      <c r="AJ17" s="15"/>
    </row>
    <row r="18" spans="1:36" x14ac:dyDescent="0.3">
      <c r="A18" s="23"/>
      <c r="B18" s="24"/>
      <c r="C18" s="24"/>
      <c r="D18" s="24"/>
      <c r="E18" s="24"/>
      <c r="F18" s="24"/>
      <c r="G18" s="24"/>
      <c r="H18" s="24"/>
      <c r="I18" s="24"/>
      <c r="J18" s="24"/>
      <c r="K18" s="24"/>
      <c r="L18" s="24"/>
      <c r="M18" s="24"/>
      <c r="N18" s="24"/>
      <c r="O18" s="24"/>
      <c r="P18" s="24"/>
      <c r="Q18" s="24"/>
      <c r="R18" s="24"/>
      <c r="S18" s="24"/>
      <c r="T18" s="24"/>
      <c r="U18" s="24"/>
      <c r="V18" s="24"/>
      <c r="W18" s="24"/>
      <c r="X18" s="24"/>
      <c r="Y18" s="23"/>
      <c r="Z18" s="15"/>
      <c r="AA18" s="15"/>
      <c r="AB18" s="15"/>
      <c r="AC18" s="15"/>
      <c r="AD18" s="15"/>
      <c r="AE18" s="15"/>
      <c r="AF18" s="15"/>
      <c r="AG18" s="15"/>
      <c r="AH18" s="15"/>
      <c r="AI18" s="15"/>
      <c r="AJ18" s="15"/>
    </row>
    <row r="19" spans="1:36" x14ac:dyDescent="0.3">
      <c r="A19" s="23"/>
      <c r="B19" s="24"/>
      <c r="C19" s="24"/>
      <c r="D19" s="24"/>
      <c r="E19" s="24"/>
      <c r="F19" s="24"/>
      <c r="G19" s="24"/>
      <c r="H19" s="24"/>
      <c r="I19" s="24"/>
      <c r="J19" s="24"/>
      <c r="K19" s="24"/>
      <c r="L19" s="24"/>
      <c r="M19" s="24"/>
      <c r="N19" s="24"/>
      <c r="O19" s="24"/>
      <c r="P19" s="24"/>
      <c r="Q19" s="24"/>
      <c r="R19" s="24"/>
      <c r="S19" s="24"/>
      <c r="T19" s="24"/>
      <c r="U19" s="24"/>
      <c r="V19" s="24"/>
      <c r="W19" s="24"/>
      <c r="X19" s="24"/>
      <c r="Y19" s="23"/>
      <c r="Z19" s="15"/>
      <c r="AA19" s="15"/>
      <c r="AB19" s="15"/>
      <c r="AC19" s="15"/>
      <c r="AD19" s="15"/>
      <c r="AE19" s="15"/>
      <c r="AF19" s="15"/>
      <c r="AG19" s="15"/>
      <c r="AH19" s="15"/>
      <c r="AI19" s="15"/>
      <c r="AJ19" s="15"/>
    </row>
    <row r="20" spans="1:36" x14ac:dyDescent="0.3">
      <c r="A20" s="23"/>
      <c r="B20" s="24"/>
      <c r="C20" s="24"/>
      <c r="D20" s="24"/>
      <c r="E20" s="24"/>
      <c r="F20" s="24"/>
      <c r="G20" s="24"/>
      <c r="H20" s="24"/>
      <c r="I20" s="24"/>
      <c r="J20" s="24"/>
      <c r="K20" s="24"/>
      <c r="L20" s="24"/>
      <c r="M20" s="24"/>
      <c r="N20" s="24"/>
      <c r="O20" s="24"/>
      <c r="P20" s="24"/>
      <c r="Q20" s="24"/>
      <c r="R20" s="24"/>
      <c r="S20" s="24"/>
      <c r="T20" s="24"/>
      <c r="U20" s="24"/>
      <c r="V20" s="24"/>
      <c r="W20" s="24"/>
      <c r="X20" s="24"/>
      <c r="Y20" s="23"/>
      <c r="Z20" s="15"/>
      <c r="AA20" s="15"/>
      <c r="AB20" s="15"/>
      <c r="AC20" s="15"/>
      <c r="AD20" s="15"/>
      <c r="AE20" s="15"/>
      <c r="AF20" s="15"/>
      <c r="AG20" s="15"/>
      <c r="AH20" s="15"/>
      <c r="AI20" s="15"/>
      <c r="AJ20" s="15"/>
    </row>
    <row r="21" spans="1:36" x14ac:dyDescent="0.3">
      <c r="A21" s="23"/>
      <c r="B21" s="24"/>
      <c r="C21" s="24"/>
      <c r="D21" s="24"/>
      <c r="E21" s="24"/>
      <c r="F21" s="24"/>
      <c r="G21" s="24"/>
      <c r="H21" s="24"/>
      <c r="I21" s="24"/>
      <c r="J21" s="24"/>
      <c r="K21" s="24"/>
      <c r="L21" s="24"/>
      <c r="M21" s="24"/>
      <c r="N21" s="24"/>
      <c r="O21" s="24"/>
      <c r="P21" s="24"/>
      <c r="Q21" s="24"/>
      <c r="R21" s="24"/>
      <c r="S21" s="24"/>
      <c r="T21" s="24"/>
      <c r="U21" s="24"/>
      <c r="V21" s="24"/>
      <c r="W21" s="24"/>
      <c r="X21" s="24"/>
      <c r="Y21" s="23"/>
      <c r="Z21" s="15"/>
      <c r="AA21" s="15"/>
      <c r="AB21" s="15"/>
      <c r="AC21" s="15"/>
      <c r="AD21" s="15"/>
      <c r="AE21" s="15"/>
      <c r="AF21" s="15"/>
      <c r="AG21" s="15"/>
      <c r="AH21" s="15"/>
      <c r="AI21" s="15"/>
      <c r="AJ21" s="15"/>
    </row>
    <row r="22" spans="1:36" x14ac:dyDescent="0.3">
      <c r="A22" s="23"/>
      <c r="B22" s="24"/>
      <c r="C22" s="24"/>
      <c r="D22" s="24"/>
      <c r="E22" s="24"/>
      <c r="F22" s="24"/>
      <c r="G22" s="24"/>
      <c r="H22" s="24"/>
      <c r="I22" s="24"/>
      <c r="J22" s="24"/>
      <c r="K22" s="24"/>
      <c r="L22" s="24"/>
      <c r="M22" s="24"/>
      <c r="N22" s="24"/>
      <c r="O22" s="24"/>
      <c r="P22" s="24"/>
      <c r="Q22" s="24"/>
      <c r="R22" s="24"/>
      <c r="S22" s="24"/>
      <c r="T22" s="24"/>
      <c r="U22" s="24"/>
      <c r="V22" s="24"/>
      <c r="W22" s="24"/>
      <c r="X22" s="24"/>
      <c r="Y22" s="23"/>
      <c r="Z22" s="15"/>
      <c r="AA22" s="15"/>
      <c r="AB22" s="15"/>
      <c r="AC22" s="15"/>
      <c r="AD22" s="15"/>
      <c r="AE22" s="15"/>
      <c r="AF22" s="15"/>
      <c r="AG22" s="15"/>
      <c r="AH22" s="15"/>
      <c r="AI22" s="15"/>
      <c r="AJ22" s="15"/>
    </row>
    <row r="23" spans="1:36" x14ac:dyDescent="0.3">
      <c r="A23" s="23"/>
      <c r="B23" s="24"/>
      <c r="C23" s="24"/>
      <c r="D23" s="24"/>
      <c r="E23" s="24"/>
      <c r="F23" s="24"/>
      <c r="G23" s="24"/>
      <c r="H23" s="24"/>
      <c r="I23" s="24"/>
      <c r="J23" s="24"/>
      <c r="K23" s="24"/>
      <c r="L23" s="24"/>
      <c r="M23" s="24"/>
      <c r="N23" s="24"/>
      <c r="O23" s="24"/>
      <c r="P23" s="24"/>
      <c r="Q23" s="24"/>
      <c r="R23" s="24"/>
      <c r="S23" s="24"/>
      <c r="T23" s="24"/>
      <c r="U23" s="24"/>
      <c r="V23" s="24"/>
      <c r="W23" s="24"/>
      <c r="X23" s="24"/>
      <c r="Y23" s="23"/>
      <c r="Z23" s="15"/>
      <c r="AA23" s="15"/>
      <c r="AB23" s="15"/>
      <c r="AC23" s="15"/>
      <c r="AD23" s="15"/>
      <c r="AE23" s="15"/>
      <c r="AF23" s="15"/>
      <c r="AG23" s="15"/>
      <c r="AH23" s="15"/>
      <c r="AI23" s="15"/>
      <c r="AJ23" s="15"/>
    </row>
    <row r="24" spans="1:36" x14ac:dyDescent="0.3">
      <c r="A24" s="23"/>
      <c r="B24" s="24"/>
      <c r="C24" s="24"/>
      <c r="D24" s="24"/>
      <c r="E24" s="24"/>
      <c r="F24" s="24"/>
      <c r="G24" s="24"/>
      <c r="H24" s="24"/>
      <c r="I24" s="24"/>
      <c r="J24" s="24"/>
      <c r="K24" s="24"/>
      <c r="L24" s="24"/>
      <c r="M24" s="24"/>
      <c r="N24" s="24"/>
      <c r="O24" s="24"/>
      <c r="P24" s="24"/>
      <c r="Q24" s="24"/>
      <c r="R24" s="24"/>
      <c r="S24" s="24"/>
      <c r="T24" s="24"/>
      <c r="U24" s="24"/>
      <c r="V24" s="24"/>
      <c r="W24" s="24"/>
      <c r="X24" s="24"/>
      <c r="Y24" s="23"/>
      <c r="Z24" s="15"/>
      <c r="AA24" s="15"/>
      <c r="AB24" s="15"/>
      <c r="AC24" s="15"/>
      <c r="AD24" s="15"/>
      <c r="AE24" s="15"/>
      <c r="AF24" s="15"/>
      <c r="AG24" s="15"/>
      <c r="AH24" s="15"/>
      <c r="AI24" s="15"/>
      <c r="AJ24" s="15"/>
    </row>
    <row r="25" spans="1:36" x14ac:dyDescent="0.3">
      <c r="A25" s="23"/>
      <c r="B25" s="24"/>
      <c r="C25" s="24"/>
      <c r="D25" s="24"/>
      <c r="E25" s="24"/>
      <c r="F25" s="24"/>
      <c r="G25" s="24"/>
      <c r="H25" s="24"/>
      <c r="I25" s="24"/>
      <c r="J25" s="24"/>
      <c r="K25" s="24"/>
      <c r="L25" s="24"/>
      <c r="M25" s="24"/>
      <c r="N25" s="24"/>
      <c r="O25" s="24"/>
      <c r="P25" s="24"/>
      <c r="Q25" s="24"/>
      <c r="R25" s="24"/>
      <c r="S25" s="24"/>
      <c r="T25" s="24"/>
      <c r="U25" s="24"/>
      <c r="V25" s="24"/>
      <c r="W25" s="24"/>
      <c r="X25" s="24"/>
      <c r="Y25" s="23"/>
      <c r="Z25" s="15"/>
      <c r="AA25" s="15"/>
      <c r="AB25" s="15"/>
      <c r="AC25" s="15"/>
      <c r="AD25" s="15"/>
      <c r="AE25" s="15"/>
      <c r="AF25" s="15"/>
      <c r="AG25" s="15"/>
      <c r="AH25" s="15"/>
      <c r="AI25" s="15"/>
      <c r="AJ25" s="15"/>
    </row>
    <row r="26" spans="1:36" x14ac:dyDescent="0.3">
      <c r="A26" s="23"/>
      <c r="B26" s="24"/>
      <c r="C26" s="24"/>
      <c r="D26" s="24"/>
      <c r="E26" s="24"/>
      <c r="F26" s="24"/>
      <c r="G26" s="24"/>
      <c r="H26" s="24"/>
      <c r="I26" s="24"/>
      <c r="J26" s="24"/>
      <c r="K26" s="24"/>
      <c r="L26" s="24"/>
      <c r="M26" s="24"/>
      <c r="N26" s="24"/>
      <c r="O26" s="24"/>
      <c r="P26" s="24"/>
      <c r="Q26" s="24"/>
      <c r="R26" s="24"/>
      <c r="S26" s="24"/>
      <c r="T26" s="24"/>
      <c r="U26" s="24"/>
      <c r="V26" s="24"/>
      <c r="W26" s="24"/>
      <c r="X26" s="24"/>
      <c r="Y26" s="23"/>
      <c r="Z26" s="15"/>
      <c r="AA26" s="15"/>
      <c r="AB26" s="15"/>
      <c r="AC26" s="15"/>
      <c r="AD26" s="15"/>
      <c r="AE26" s="15"/>
      <c r="AF26" s="15"/>
      <c r="AG26" s="15"/>
      <c r="AH26" s="15"/>
      <c r="AI26" s="15"/>
      <c r="AJ26" s="15"/>
    </row>
    <row r="27" spans="1:36" x14ac:dyDescent="0.3">
      <c r="A27" s="23"/>
      <c r="B27" s="24"/>
      <c r="C27" s="24"/>
      <c r="D27" s="24"/>
      <c r="E27" s="24"/>
      <c r="F27" s="24"/>
      <c r="G27" s="24"/>
      <c r="H27" s="24"/>
      <c r="I27" s="24"/>
      <c r="J27" s="24"/>
      <c r="K27" s="24"/>
      <c r="L27" s="24"/>
      <c r="M27" s="24"/>
      <c r="N27" s="24"/>
      <c r="O27" s="24"/>
      <c r="P27" s="24"/>
      <c r="Q27" s="24"/>
      <c r="R27" s="24"/>
      <c r="S27" s="24"/>
      <c r="T27" s="24"/>
      <c r="U27" s="24"/>
      <c r="V27" s="24"/>
      <c r="W27" s="24"/>
      <c r="X27" s="24"/>
      <c r="Y27" s="23"/>
      <c r="Z27" s="15"/>
      <c r="AA27" s="15"/>
      <c r="AB27" s="15"/>
      <c r="AC27" s="15"/>
      <c r="AD27" s="15"/>
      <c r="AE27" s="15"/>
      <c r="AF27" s="15"/>
      <c r="AG27" s="15"/>
      <c r="AH27" s="15"/>
      <c r="AI27" s="15"/>
      <c r="AJ27" s="15"/>
    </row>
    <row r="28" spans="1:36" x14ac:dyDescent="0.3">
      <c r="A28" s="23"/>
      <c r="B28" s="24"/>
      <c r="C28" s="24"/>
      <c r="D28" s="24"/>
      <c r="E28" s="24"/>
      <c r="F28" s="24"/>
      <c r="G28" s="24"/>
      <c r="H28" s="24"/>
      <c r="I28" s="24"/>
      <c r="J28" s="24"/>
      <c r="K28" s="24"/>
      <c r="L28" s="24"/>
      <c r="M28" s="24"/>
      <c r="N28" s="24"/>
      <c r="O28" s="24"/>
      <c r="P28" s="24"/>
      <c r="Q28" s="24"/>
      <c r="R28" s="24"/>
      <c r="S28" s="24"/>
      <c r="T28" s="24"/>
      <c r="U28" s="24"/>
      <c r="V28" s="24"/>
      <c r="W28" s="24"/>
      <c r="X28" s="24"/>
      <c r="Y28" s="23"/>
      <c r="Z28" s="15"/>
      <c r="AA28" s="15"/>
      <c r="AB28" s="15"/>
      <c r="AC28" s="15"/>
      <c r="AD28" s="15"/>
      <c r="AE28" s="15"/>
      <c r="AF28" s="15"/>
      <c r="AG28" s="15"/>
      <c r="AH28" s="15"/>
      <c r="AI28" s="15"/>
      <c r="AJ28" s="15"/>
    </row>
    <row r="29" spans="1:36" x14ac:dyDescent="0.3">
      <c r="A29" s="23"/>
      <c r="B29" s="24"/>
      <c r="C29" s="24"/>
      <c r="D29" s="24"/>
      <c r="E29" s="24"/>
      <c r="F29" s="24"/>
      <c r="G29" s="24"/>
      <c r="H29" s="24"/>
      <c r="I29" s="24"/>
      <c r="J29" s="24"/>
      <c r="K29" s="24"/>
      <c r="L29" s="24"/>
      <c r="M29" s="24"/>
      <c r="N29" s="24"/>
      <c r="O29" s="24"/>
      <c r="P29" s="24"/>
      <c r="Q29" s="24"/>
      <c r="R29" s="24"/>
      <c r="S29" s="24"/>
      <c r="T29" s="24"/>
      <c r="U29" s="24"/>
      <c r="V29" s="24"/>
      <c r="W29" s="24"/>
      <c r="X29" s="24"/>
      <c r="Y29" s="23"/>
      <c r="Z29" s="15"/>
      <c r="AA29" s="15"/>
      <c r="AB29" s="15"/>
      <c r="AC29" s="15"/>
      <c r="AD29" s="15"/>
      <c r="AE29" s="15"/>
      <c r="AF29" s="15"/>
      <c r="AG29" s="15"/>
      <c r="AH29" s="15"/>
      <c r="AI29" s="15"/>
      <c r="AJ29" s="15"/>
    </row>
    <row r="30" spans="1:36" x14ac:dyDescent="0.3">
      <c r="A30" s="23"/>
      <c r="B30" s="24"/>
      <c r="C30" s="24"/>
      <c r="D30" s="24"/>
      <c r="E30" s="24"/>
      <c r="F30" s="24"/>
      <c r="G30" s="24"/>
      <c r="H30" s="24"/>
      <c r="I30" s="24"/>
      <c r="J30" s="24"/>
      <c r="K30" s="24"/>
      <c r="L30" s="24"/>
      <c r="M30" s="24"/>
      <c r="N30" s="24"/>
      <c r="O30" s="24"/>
      <c r="P30" s="24"/>
      <c r="Q30" s="24"/>
      <c r="R30" s="24"/>
      <c r="S30" s="24"/>
      <c r="T30" s="24"/>
      <c r="U30" s="24"/>
      <c r="V30" s="24"/>
      <c r="W30" s="24"/>
      <c r="X30" s="24"/>
      <c r="Y30" s="23"/>
      <c r="Z30" s="15"/>
      <c r="AA30" s="15"/>
      <c r="AB30" s="15"/>
      <c r="AC30" s="15"/>
      <c r="AD30" s="15"/>
      <c r="AE30" s="15"/>
      <c r="AF30" s="15"/>
      <c r="AG30" s="15"/>
      <c r="AH30" s="15"/>
      <c r="AI30" s="15"/>
      <c r="AJ30" s="15"/>
    </row>
    <row r="31" spans="1:36" x14ac:dyDescent="0.3">
      <c r="A31" s="23"/>
      <c r="B31" s="24"/>
      <c r="C31" s="24"/>
      <c r="D31" s="24"/>
      <c r="E31" s="24"/>
      <c r="F31" s="24"/>
      <c r="G31" s="24"/>
      <c r="H31" s="24"/>
      <c r="I31" s="24"/>
      <c r="J31" s="24"/>
      <c r="K31" s="24"/>
      <c r="L31" s="24"/>
      <c r="M31" s="24"/>
      <c r="N31" s="24"/>
      <c r="O31" s="24"/>
      <c r="P31" s="24"/>
      <c r="Q31" s="24"/>
      <c r="R31" s="24"/>
      <c r="S31" s="24"/>
      <c r="T31" s="24"/>
      <c r="U31" s="24"/>
      <c r="V31" s="24"/>
      <c r="W31" s="24"/>
      <c r="X31" s="24"/>
      <c r="Y31" s="23"/>
      <c r="Z31" s="15"/>
      <c r="AA31" s="15"/>
      <c r="AB31" s="15"/>
      <c r="AC31" s="15"/>
      <c r="AD31" s="15"/>
      <c r="AE31" s="15"/>
      <c r="AF31" s="15"/>
      <c r="AG31" s="15"/>
      <c r="AH31" s="15"/>
      <c r="AI31" s="15"/>
      <c r="AJ31" s="15"/>
    </row>
    <row r="32" spans="1:36" x14ac:dyDescent="0.3">
      <c r="A32" s="23"/>
      <c r="B32" s="24"/>
      <c r="C32" s="24"/>
      <c r="D32" s="24"/>
      <c r="E32" s="24"/>
      <c r="F32" s="24"/>
      <c r="G32" s="24"/>
      <c r="H32" s="24"/>
      <c r="I32" s="24"/>
      <c r="J32" s="24"/>
      <c r="K32" s="24"/>
      <c r="L32" s="24"/>
      <c r="M32" s="24"/>
      <c r="N32" s="24"/>
      <c r="O32" s="24"/>
      <c r="P32" s="24"/>
      <c r="Q32" s="24"/>
      <c r="R32" s="24"/>
      <c r="S32" s="24"/>
      <c r="T32" s="24"/>
      <c r="U32" s="24"/>
      <c r="V32" s="24"/>
      <c r="W32" s="24"/>
      <c r="X32" s="24"/>
      <c r="Y32" s="23"/>
      <c r="Z32" s="15"/>
      <c r="AA32" s="15"/>
      <c r="AB32" s="15"/>
      <c r="AC32" s="15"/>
      <c r="AD32" s="15"/>
      <c r="AE32" s="15"/>
      <c r="AF32" s="15"/>
      <c r="AG32" s="15"/>
      <c r="AH32" s="15"/>
      <c r="AI32" s="15"/>
      <c r="AJ32" s="15"/>
    </row>
    <row r="33" spans="1:36" x14ac:dyDescent="0.3">
      <c r="A33" s="23"/>
      <c r="B33" s="24"/>
      <c r="C33" s="24"/>
      <c r="D33" s="24"/>
      <c r="E33" s="24"/>
      <c r="F33" s="24"/>
      <c r="G33" s="24"/>
      <c r="H33" s="24"/>
      <c r="I33" s="24"/>
      <c r="J33" s="24"/>
      <c r="K33" s="24"/>
      <c r="L33" s="24"/>
      <c r="M33" s="24"/>
      <c r="N33" s="24"/>
      <c r="O33" s="24"/>
      <c r="P33" s="24"/>
      <c r="Q33" s="24"/>
      <c r="R33" s="24"/>
      <c r="S33" s="24"/>
      <c r="T33" s="24"/>
      <c r="U33" s="24"/>
      <c r="V33" s="24"/>
      <c r="W33" s="24"/>
      <c r="X33" s="24"/>
      <c r="Y33" s="23"/>
      <c r="Z33" s="15"/>
      <c r="AA33" s="15"/>
      <c r="AB33" s="15"/>
      <c r="AC33" s="15"/>
      <c r="AD33" s="15"/>
      <c r="AE33" s="15"/>
      <c r="AF33" s="15"/>
      <c r="AG33" s="15"/>
      <c r="AH33" s="15"/>
      <c r="AI33" s="15"/>
      <c r="AJ33" s="15"/>
    </row>
    <row r="34" spans="1:36" x14ac:dyDescent="0.3">
      <c r="A34" s="23"/>
      <c r="B34" s="24"/>
      <c r="C34" s="24"/>
      <c r="D34" s="24"/>
      <c r="E34" s="24"/>
      <c r="F34" s="24"/>
      <c r="G34" s="24"/>
      <c r="H34" s="24"/>
      <c r="I34" s="24"/>
      <c r="J34" s="24"/>
      <c r="K34" s="24"/>
      <c r="L34" s="24"/>
      <c r="M34" s="24"/>
      <c r="N34" s="24"/>
      <c r="O34" s="24"/>
      <c r="P34" s="24"/>
      <c r="Q34" s="24"/>
      <c r="R34" s="24"/>
      <c r="S34" s="24"/>
      <c r="T34" s="24"/>
      <c r="U34" s="24"/>
      <c r="V34" s="24"/>
      <c r="W34" s="24"/>
      <c r="X34" s="24"/>
      <c r="Y34" s="23"/>
      <c r="Z34" s="15"/>
      <c r="AA34" s="15"/>
      <c r="AB34" s="15"/>
      <c r="AC34" s="15"/>
      <c r="AD34" s="15"/>
      <c r="AE34" s="15"/>
      <c r="AF34" s="15"/>
      <c r="AG34" s="15"/>
      <c r="AH34" s="15"/>
      <c r="AI34" s="15"/>
      <c r="AJ34" s="15"/>
    </row>
    <row r="35" spans="1:36" x14ac:dyDescent="0.3">
      <c r="A35" s="23"/>
      <c r="B35" s="24"/>
      <c r="C35" s="24"/>
      <c r="D35" s="24"/>
      <c r="E35" s="24"/>
      <c r="F35" s="24"/>
      <c r="G35" s="24"/>
      <c r="H35" s="24"/>
      <c r="I35" s="24"/>
      <c r="J35" s="24"/>
      <c r="K35" s="24"/>
      <c r="L35" s="24"/>
      <c r="M35" s="24"/>
      <c r="N35" s="24"/>
      <c r="O35" s="24"/>
      <c r="P35" s="24"/>
      <c r="Q35" s="24"/>
      <c r="R35" s="24"/>
      <c r="S35" s="24"/>
      <c r="T35" s="24"/>
      <c r="U35" s="24"/>
      <c r="V35" s="24"/>
      <c r="W35" s="24"/>
      <c r="X35" s="24"/>
      <c r="Y35" s="23"/>
      <c r="Z35" s="15"/>
      <c r="AA35" s="15"/>
      <c r="AB35" s="15"/>
      <c r="AC35" s="15"/>
      <c r="AD35" s="15"/>
      <c r="AE35" s="15"/>
      <c r="AF35" s="15"/>
      <c r="AG35" s="15"/>
      <c r="AH35" s="15"/>
      <c r="AI35" s="15"/>
      <c r="AJ35" s="15"/>
    </row>
    <row r="36" spans="1:36" x14ac:dyDescent="0.3">
      <c r="A36" s="23"/>
      <c r="B36" s="24"/>
      <c r="C36" s="24"/>
      <c r="D36" s="24"/>
      <c r="E36" s="24"/>
      <c r="F36" s="24"/>
      <c r="G36" s="24"/>
      <c r="H36" s="24"/>
      <c r="I36" s="24"/>
      <c r="J36" s="24"/>
      <c r="K36" s="24"/>
      <c r="L36" s="24"/>
      <c r="M36" s="24"/>
      <c r="N36" s="24"/>
      <c r="O36" s="24"/>
      <c r="P36" s="24"/>
      <c r="Q36" s="24"/>
      <c r="R36" s="24"/>
      <c r="S36" s="24"/>
      <c r="T36" s="24"/>
      <c r="U36" s="24"/>
      <c r="V36" s="24"/>
      <c r="W36" s="24"/>
      <c r="X36" s="24"/>
      <c r="Y36" s="23"/>
      <c r="Z36" s="15"/>
      <c r="AA36" s="15"/>
      <c r="AB36" s="15"/>
      <c r="AC36" s="15"/>
      <c r="AD36" s="15"/>
      <c r="AE36" s="15"/>
      <c r="AF36" s="15"/>
      <c r="AG36" s="15"/>
      <c r="AH36" s="15"/>
      <c r="AI36" s="15"/>
      <c r="AJ36" s="15"/>
    </row>
    <row r="37" spans="1:36" x14ac:dyDescent="0.3">
      <c r="A37" s="23"/>
      <c r="B37" s="24"/>
      <c r="C37" s="24"/>
      <c r="D37" s="24"/>
      <c r="E37" s="24"/>
      <c r="F37" s="24"/>
      <c r="G37" s="24"/>
      <c r="H37" s="24"/>
      <c r="I37" s="24"/>
      <c r="J37" s="24"/>
      <c r="K37" s="24"/>
      <c r="L37" s="24"/>
      <c r="M37" s="24"/>
      <c r="N37" s="24"/>
      <c r="O37" s="24"/>
      <c r="P37" s="24"/>
      <c r="Q37" s="24"/>
      <c r="R37" s="24"/>
      <c r="S37" s="24"/>
      <c r="T37" s="24"/>
      <c r="U37" s="24"/>
      <c r="V37" s="24"/>
      <c r="W37" s="24"/>
      <c r="X37" s="24"/>
      <c r="Y37" s="23"/>
      <c r="Z37" s="15"/>
      <c r="AA37" s="15"/>
      <c r="AB37" s="15"/>
      <c r="AC37" s="15"/>
      <c r="AD37" s="15"/>
      <c r="AE37" s="15"/>
      <c r="AF37" s="15"/>
      <c r="AG37" s="15"/>
      <c r="AH37" s="15"/>
      <c r="AI37" s="15"/>
      <c r="AJ37" s="15"/>
    </row>
    <row r="38" spans="1:36" x14ac:dyDescent="0.3">
      <c r="A38" s="23"/>
      <c r="B38" s="24"/>
      <c r="C38" s="24"/>
      <c r="D38" s="24"/>
      <c r="E38" s="24"/>
      <c r="F38" s="24"/>
      <c r="G38" s="24"/>
      <c r="H38" s="24"/>
      <c r="I38" s="24"/>
      <c r="J38" s="24"/>
      <c r="K38" s="24"/>
      <c r="L38" s="24"/>
      <c r="M38" s="24"/>
      <c r="N38" s="24"/>
      <c r="O38" s="24"/>
      <c r="P38" s="24"/>
      <c r="Q38" s="24"/>
      <c r="R38" s="24"/>
      <c r="S38" s="24"/>
      <c r="T38" s="24"/>
      <c r="U38" s="24"/>
      <c r="V38" s="24"/>
      <c r="W38" s="24"/>
      <c r="X38" s="24"/>
      <c r="Y38" s="23"/>
      <c r="Z38" s="15"/>
      <c r="AA38" s="15"/>
      <c r="AB38" s="15"/>
      <c r="AC38" s="15"/>
      <c r="AD38" s="15"/>
      <c r="AE38" s="15"/>
      <c r="AF38" s="15"/>
      <c r="AG38" s="15"/>
      <c r="AH38" s="15"/>
      <c r="AI38" s="15"/>
      <c r="AJ38" s="15"/>
    </row>
    <row r="39" spans="1:36" x14ac:dyDescent="0.3">
      <c r="A39" s="23"/>
      <c r="B39" s="24"/>
      <c r="C39" s="24"/>
      <c r="D39" s="24"/>
      <c r="E39" s="24"/>
      <c r="F39" s="24"/>
      <c r="G39" s="24"/>
      <c r="H39" s="24"/>
      <c r="I39" s="24"/>
      <c r="J39" s="24"/>
      <c r="K39" s="24"/>
      <c r="L39" s="24"/>
      <c r="M39" s="24"/>
      <c r="N39" s="24"/>
      <c r="O39" s="24"/>
      <c r="P39" s="24"/>
      <c r="Q39" s="24"/>
      <c r="R39" s="24"/>
      <c r="S39" s="24"/>
      <c r="T39" s="24"/>
      <c r="U39" s="24"/>
      <c r="V39" s="24"/>
      <c r="W39" s="24"/>
      <c r="X39" s="24"/>
      <c r="Y39" s="23"/>
      <c r="Z39" s="15"/>
      <c r="AA39" s="15"/>
      <c r="AB39" s="15"/>
      <c r="AC39" s="15"/>
      <c r="AD39" s="15"/>
      <c r="AE39" s="15"/>
      <c r="AF39" s="15"/>
      <c r="AG39" s="15"/>
      <c r="AH39" s="15"/>
      <c r="AI39" s="15"/>
      <c r="AJ39" s="15"/>
    </row>
    <row r="40" spans="1:36" x14ac:dyDescent="0.3">
      <c r="A40" s="23"/>
      <c r="B40" s="24"/>
      <c r="C40" s="24"/>
      <c r="D40" s="24"/>
      <c r="E40" s="24"/>
      <c r="F40" s="24"/>
      <c r="G40" s="24"/>
      <c r="H40" s="24"/>
      <c r="I40" s="24"/>
      <c r="J40" s="24"/>
      <c r="K40" s="24"/>
      <c r="L40" s="24"/>
      <c r="M40" s="24"/>
      <c r="N40" s="24"/>
      <c r="O40" s="24"/>
      <c r="P40" s="24"/>
      <c r="Q40" s="24"/>
      <c r="R40" s="24"/>
      <c r="S40" s="24"/>
      <c r="T40" s="24"/>
      <c r="U40" s="24"/>
      <c r="V40" s="24"/>
      <c r="W40" s="24"/>
      <c r="X40" s="24"/>
      <c r="Y40" s="23"/>
      <c r="Z40" s="15"/>
      <c r="AA40" s="15"/>
      <c r="AB40" s="15"/>
      <c r="AC40" s="15"/>
      <c r="AD40" s="15"/>
      <c r="AE40" s="15"/>
      <c r="AF40" s="15"/>
      <c r="AG40" s="15"/>
      <c r="AH40" s="15"/>
      <c r="AI40" s="15"/>
      <c r="AJ40" s="15"/>
    </row>
    <row r="41" spans="1:36" x14ac:dyDescent="0.3">
      <c r="A41" s="23"/>
      <c r="B41" s="24"/>
      <c r="C41" s="24"/>
      <c r="D41" s="24"/>
      <c r="E41" s="24"/>
      <c r="F41" s="24"/>
      <c r="G41" s="24"/>
      <c r="H41" s="24"/>
      <c r="I41" s="24"/>
      <c r="J41" s="24"/>
      <c r="K41" s="24"/>
      <c r="L41" s="24"/>
      <c r="M41" s="24"/>
      <c r="N41" s="24"/>
      <c r="O41" s="24"/>
      <c r="P41" s="24"/>
      <c r="Q41" s="24"/>
      <c r="R41" s="24"/>
      <c r="S41" s="24"/>
      <c r="T41" s="24"/>
      <c r="U41" s="24"/>
      <c r="V41" s="24"/>
      <c r="W41" s="24"/>
      <c r="X41" s="24"/>
      <c r="Y41" s="23"/>
      <c r="Z41" s="15"/>
      <c r="AA41" s="15"/>
      <c r="AB41" s="15"/>
      <c r="AC41" s="15"/>
      <c r="AD41" s="15"/>
      <c r="AE41" s="15"/>
      <c r="AF41" s="15"/>
      <c r="AG41" s="15"/>
      <c r="AH41" s="15"/>
      <c r="AI41" s="15"/>
      <c r="AJ41" s="15"/>
    </row>
    <row r="42" spans="1:36" x14ac:dyDescent="0.3">
      <c r="A42" s="23"/>
      <c r="B42" s="24"/>
      <c r="C42" s="24"/>
      <c r="D42" s="24"/>
      <c r="E42" s="24"/>
      <c r="F42" s="24"/>
      <c r="G42" s="24"/>
      <c r="H42" s="24"/>
      <c r="I42" s="24"/>
      <c r="J42" s="24"/>
      <c r="K42" s="24"/>
      <c r="L42" s="24"/>
      <c r="M42" s="24"/>
      <c r="N42" s="24"/>
      <c r="O42" s="24"/>
      <c r="P42" s="24"/>
      <c r="Q42" s="24"/>
      <c r="R42" s="24"/>
      <c r="S42" s="24"/>
      <c r="T42" s="24"/>
      <c r="U42" s="24"/>
      <c r="V42" s="24"/>
      <c r="W42" s="24"/>
      <c r="X42" s="24"/>
      <c r="Y42" s="23"/>
      <c r="Z42" s="15"/>
      <c r="AA42" s="15"/>
      <c r="AB42" s="15"/>
      <c r="AC42" s="15"/>
      <c r="AD42" s="15"/>
      <c r="AE42" s="15"/>
      <c r="AF42" s="15"/>
      <c r="AG42" s="15"/>
      <c r="AH42" s="15"/>
      <c r="AI42" s="15"/>
      <c r="AJ42" s="15"/>
    </row>
    <row r="43" spans="1:36" x14ac:dyDescent="0.3">
      <c r="A43" s="23"/>
      <c r="B43" s="24"/>
      <c r="C43" s="24"/>
      <c r="D43" s="24"/>
      <c r="E43" s="24"/>
      <c r="F43" s="24"/>
      <c r="G43" s="24"/>
      <c r="H43" s="24"/>
      <c r="I43" s="24"/>
      <c r="J43" s="24"/>
      <c r="K43" s="24"/>
      <c r="L43" s="24"/>
      <c r="M43" s="24"/>
      <c r="N43" s="24"/>
      <c r="O43" s="24"/>
      <c r="P43" s="24"/>
      <c r="Q43" s="24"/>
      <c r="R43" s="24"/>
      <c r="S43" s="24"/>
      <c r="T43" s="24"/>
      <c r="U43" s="24"/>
      <c r="V43" s="24"/>
      <c r="W43" s="24"/>
      <c r="X43" s="24"/>
      <c r="Y43" s="23"/>
      <c r="Z43" s="15"/>
      <c r="AA43" s="15"/>
      <c r="AB43" s="15"/>
      <c r="AC43" s="15"/>
      <c r="AD43" s="15"/>
      <c r="AE43" s="15"/>
      <c r="AF43" s="15"/>
      <c r="AG43" s="15"/>
      <c r="AH43" s="15"/>
      <c r="AI43" s="15"/>
      <c r="AJ43" s="15"/>
    </row>
    <row r="44" spans="1:36" x14ac:dyDescent="0.3">
      <c r="A44" s="23"/>
      <c r="B44" s="24"/>
      <c r="C44" s="24"/>
      <c r="D44" s="24"/>
      <c r="E44" s="24"/>
      <c r="F44" s="24"/>
      <c r="G44" s="24"/>
      <c r="H44" s="24"/>
      <c r="I44" s="24"/>
      <c r="J44" s="24"/>
      <c r="K44" s="24"/>
      <c r="L44" s="24"/>
      <c r="M44" s="24"/>
      <c r="N44" s="24"/>
      <c r="O44" s="24"/>
      <c r="P44" s="24"/>
      <c r="Q44" s="24"/>
      <c r="R44" s="24"/>
      <c r="S44" s="24"/>
      <c r="T44" s="24"/>
      <c r="U44" s="24"/>
      <c r="V44" s="24"/>
      <c r="W44" s="24"/>
      <c r="X44" s="24"/>
      <c r="Y44" s="23"/>
      <c r="Z44" s="15"/>
      <c r="AA44" s="15"/>
      <c r="AB44" s="15"/>
      <c r="AC44" s="15"/>
      <c r="AD44" s="15"/>
      <c r="AE44" s="15"/>
      <c r="AF44" s="15"/>
      <c r="AG44" s="15"/>
      <c r="AH44" s="15"/>
      <c r="AI44" s="15"/>
      <c r="AJ44" s="15"/>
    </row>
    <row r="45" spans="1:36" x14ac:dyDescent="0.3">
      <c r="A45" s="23"/>
      <c r="B45" s="24"/>
      <c r="C45" s="24"/>
      <c r="D45" s="24"/>
      <c r="E45" s="24"/>
      <c r="F45" s="24"/>
      <c r="G45" s="24"/>
      <c r="H45" s="24"/>
      <c r="I45" s="24"/>
      <c r="J45" s="24"/>
      <c r="K45" s="24"/>
      <c r="L45" s="24"/>
      <c r="M45" s="24"/>
      <c r="N45" s="24"/>
      <c r="O45" s="24"/>
      <c r="P45" s="24"/>
      <c r="Q45" s="24"/>
      <c r="R45" s="24"/>
      <c r="S45" s="24"/>
      <c r="T45" s="24"/>
      <c r="U45" s="24"/>
      <c r="V45" s="24"/>
      <c r="W45" s="24"/>
      <c r="X45" s="24"/>
      <c r="Y45" s="23"/>
      <c r="Z45" s="15"/>
      <c r="AA45" s="15"/>
      <c r="AB45" s="15"/>
      <c r="AC45" s="15"/>
      <c r="AD45" s="15"/>
      <c r="AE45" s="15"/>
      <c r="AF45" s="15"/>
      <c r="AG45" s="15"/>
      <c r="AH45" s="15"/>
      <c r="AI45" s="15"/>
      <c r="AJ45" s="15"/>
    </row>
    <row r="46" spans="1:36" x14ac:dyDescent="0.3">
      <c r="A46" s="23"/>
      <c r="B46" s="24"/>
      <c r="C46" s="24"/>
      <c r="D46" s="24"/>
      <c r="E46" s="24"/>
      <c r="F46" s="24"/>
      <c r="G46" s="24"/>
      <c r="H46" s="24"/>
      <c r="I46" s="24"/>
      <c r="J46" s="24"/>
      <c r="K46" s="24"/>
      <c r="L46" s="24"/>
      <c r="M46" s="24"/>
      <c r="N46" s="24"/>
      <c r="O46" s="24"/>
      <c r="P46" s="24"/>
      <c r="Q46" s="24"/>
      <c r="R46" s="24"/>
      <c r="S46" s="24"/>
      <c r="T46" s="24"/>
      <c r="U46" s="24"/>
      <c r="V46" s="24"/>
      <c r="W46" s="24"/>
      <c r="X46" s="24"/>
      <c r="Y46" s="23"/>
      <c r="Z46" s="15"/>
      <c r="AA46" s="15"/>
      <c r="AB46" s="15"/>
      <c r="AC46" s="15"/>
      <c r="AD46" s="15"/>
      <c r="AE46" s="15"/>
      <c r="AF46" s="15"/>
      <c r="AG46" s="15"/>
      <c r="AH46" s="15"/>
      <c r="AI46" s="15"/>
      <c r="AJ46" s="15"/>
    </row>
    <row r="47" spans="1:36" x14ac:dyDescent="0.3">
      <c r="A47" s="23"/>
      <c r="B47" s="24"/>
      <c r="C47" s="24"/>
      <c r="D47" s="24"/>
      <c r="E47" s="24"/>
      <c r="F47" s="24"/>
      <c r="G47" s="24"/>
      <c r="H47" s="24"/>
      <c r="I47" s="24"/>
      <c r="J47" s="24"/>
      <c r="K47" s="24"/>
      <c r="L47" s="24"/>
      <c r="M47" s="24"/>
      <c r="N47" s="24"/>
      <c r="O47" s="24"/>
      <c r="P47" s="24"/>
      <c r="Q47" s="24"/>
      <c r="R47" s="24"/>
      <c r="S47" s="24"/>
      <c r="T47" s="24"/>
      <c r="U47" s="24"/>
      <c r="V47" s="24"/>
      <c r="W47" s="24"/>
      <c r="X47" s="24"/>
      <c r="Y47" s="23"/>
      <c r="Z47" s="15"/>
      <c r="AA47" s="15"/>
      <c r="AB47" s="15"/>
      <c r="AC47" s="15"/>
      <c r="AD47" s="15"/>
      <c r="AE47" s="15"/>
      <c r="AF47" s="15"/>
      <c r="AG47" s="15"/>
      <c r="AH47" s="15"/>
      <c r="AI47" s="15"/>
      <c r="AJ47" s="15"/>
    </row>
    <row r="48" spans="1:36" x14ac:dyDescent="0.3">
      <c r="A48" s="23"/>
      <c r="B48" s="24"/>
      <c r="C48" s="24"/>
      <c r="D48" s="24"/>
      <c r="E48" s="24"/>
      <c r="F48" s="24"/>
      <c r="G48" s="24"/>
      <c r="H48" s="24"/>
      <c r="I48" s="24"/>
      <c r="J48" s="24"/>
      <c r="K48" s="24"/>
      <c r="L48" s="24"/>
      <c r="M48" s="24"/>
      <c r="N48" s="24"/>
      <c r="O48" s="24"/>
      <c r="P48" s="24"/>
      <c r="Q48" s="24"/>
      <c r="R48" s="24"/>
      <c r="S48" s="24"/>
      <c r="T48" s="24"/>
      <c r="U48" s="24"/>
      <c r="V48" s="24"/>
      <c r="W48" s="24"/>
      <c r="X48" s="24"/>
      <c r="Y48" s="23"/>
      <c r="Z48" s="15"/>
      <c r="AA48" s="15"/>
      <c r="AB48" s="15"/>
      <c r="AC48" s="15"/>
      <c r="AD48" s="15"/>
      <c r="AE48" s="15"/>
      <c r="AF48" s="15"/>
      <c r="AG48" s="15"/>
      <c r="AH48" s="15"/>
      <c r="AI48" s="15"/>
      <c r="AJ48" s="15"/>
    </row>
    <row r="49" spans="1:36" x14ac:dyDescent="0.3">
      <c r="A49" s="23"/>
      <c r="B49" s="24"/>
      <c r="C49" s="24"/>
      <c r="D49" s="24"/>
      <c r="E49" s="24"/>
      <c r="F49" s="24"/>
      <c r="G49" s="24"/>
      <c r="H49" s="24"/>
      <c r="I49" s="24"/>
      <c r="J49" s="24"/>
      <c r="K49" s="24"/>
      <c r="L49" s="24"/>
      <c r="M49" s="24"/>
      <c r="N49" s="24"/>
      <c r="O49" s="24"/>
      <c r="P49" s="24"/>
      <c r="Q49" s="24"/>
      <c r="R49" s="24"/>
      <c r="S49" s="24"/>
      <c r="T49" s="24"/>
      <c r="U49" s="24"/>
      <c r="V49" s="24"/>
      <c r="W49" s="24"/>
      <c r="X49" s="24"/>
      <c r="Y49" s="23"/>
      <c r="Z49" s="15"/>
      <c r="AA49" s="15"/>
      <c r="AB49" s="15"/>
      <c r="AC49" s="15"/>
      <c r="AD49" s="15"/>
      <c r="AE49" s="15"/>
      <c r="AF49" s="15"/>
      <c r="AG49" s="15"/>
      <c r="AH49" s="15"/>
      <c r="AI49" s="15"/>
      <c r="AJ49" s="15"/>
    </row>
    <row r="50" spans="1:36" x14ac:dyDescent="0.3">
      <c r="A50" s="23"/>
      <c r="B50" s="24"/>
      <c r="C50" s="24"/>
      <c r="D50" s="24"/>
      <c r="E50" s="24"/>
      <c r="F50" s="24"/>
      <c r="G50" s="24"/>
      <c r="H50" s="24"/>
      <c r="I50" s="24"/>
      <c r="J50" s="24"/>
      <c r="K50" s="24"/>
      <c r="L50" s="24"/>
      <c r="M50" s="24"/>
      <c r="N50" s="24"/>
      <c r="O50" s="24"/>
      <c r="P50" s="24"/>
      <c r="Q50" s="24"/>
      <c r="R50" s="24"/>
      <c r="S50" s="24"/>
      <c r="T50" s="24"/>
      <c r="U50" s="24"/>
      <c r="V50" s="24"/>
      <c r="W50" s="24"/>
      <c r="X50" s="24"/>
      <c r="Y50" s="23"/>
      <c r="Z50" s="15"/>
      <c r="AA50" s="15"/>
      <c r="AB50" s="15"/>
      <c r="AC50" s="15"/>
      <c r="AD50" s="15"/>
      <c r="AE50" s="15"/>
      <c r="AF50" s="15"/>
      <c r="AG50" s="15"/>
      <c r="AH50" s="15"/>
      <c r="AI50" s="15"/>
      <c r="AJ50"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student_exam_scores </vt:lpstr>
      <vt:lpstr>Attendance and Study Hour</vt:lpstr>
      <vt:lpstr>Previous V Exam</vt:lpstr>
      <vt:lpstr>Improvement and Attendance</vt:lpstr>
      <vt:lpstr>Improvement </vt:lpstr>
      <vt:lpstr>Previous and Study Hour</vt:lpstr>
      <vt:lpstr>Exam and study Hour</vt:lpstr>
      <vt:lpstr>Dash 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dc:creator>
  <cp:lastModifiedBy>Khedash</cp:lastModifiedBy>
  <dcterms:created xsi:type="dcterms:W3CDTF">2025-10-01T16:08:42Z</dcterms:created>
  <dcterms:modified xsi:type="dcterms:W3CDTF">2025-11-28T10:29:09Z</dcterms:modified>
</cp:coreProperties>
</file>